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<sst xmlns="http://schemas.openxmlformats.org/spreadsheetml/2006/main" count="205" uniqueCount="147">
  <si>
    <t>AI AUDIT LOG - METADATA &amp; SUMMARY</t>
  </si>
  <si>
    <t>STUDENT INFORMATION</t>
  </si>
  <si>
    <t>Student Name:</t>
  </si>
  <si>
    <t>Lương Triều Vỹ</t>
  </si>
  <si>
    <t>Student ID:</t>
  </si>
  <si>
    <t>QE200035</t>
  </si>
  <si>
    <t>Course:</t>
  </si>
  <si>
    <t>LAB211</t>
  </si>
  <si>
    <t>Assignment:</t>
  </si>
  <si>
    <t>Employee Payroll Management System</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</si>
  <si>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</si>
  <si>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</si>
  <si>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</si>
  <si>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</si>
  <si>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</si>
  <si>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</si>
  <si>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</si>
  <si>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</si>
  <si>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</si>
  <si>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</si>
  <si>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</si>
  <si>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</si>
  <si>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</si>
  <si>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</si>
  <si>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</si>
  <si>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</si>
  <si>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</si>
  <si>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</si>
  <si>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</si>
  <si>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</si>
  <si>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</si>
  <si>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</si>
  <si>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</si>
  <si>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</si>
  <si>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</si>
  <si>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</si>
  <si>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</si>
  <si>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</si>
  <si>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</si>
  <si>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</si>
  <si>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</si>
  <si>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</si>
  <si>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</si>
  <si>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</si>
  <si>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</si>
  <si>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</si>
  <si>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</si>
  <si>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</si>
  <si>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</si>
  <si>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</si>
  <si>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</si>
  <si>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</si>
  <si>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</si>
  <si>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</si>
  <si>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</si>
  <si>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</si>
  <si>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</si>
  <si>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</si>
  <si>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</si>
  <si>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</si>
  <si>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</si>
  <si>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</si>
  <si>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</si>
  <si>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</si>
  <si>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</si>
  <si>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</si>
  <si>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</si>
  <si>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</si>
  <si>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</si>
  <si>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</si>
  <si>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</si>
  <si>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</si>
  <si>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</si>
  <si>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</si>
  <si>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</si>
  <si>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</si>
  <si>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</si>
  <si>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</si>
  <si>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Use Case Review</t>
  </si>
  <si>
    <t>Cần kiểm tra Use Case Diagram có đúng yêu cầu đề tài LAB211 Payroll Simulation không. Sợ sơ đồ bị quá rộng, sai actor, sai include/extend hoặc chưa tập trung vào concurrency.</t>
  </si>
  <si>
    <t>Bạn là một Giảng viên chấm điểm đồ án môn LAB211 (Lập trình hướng đối tượng với Java) tại FPT University. Tôi gửi cho bạn ảnh chụp sơ đồ Use Case (Use Case Diagram) hiện tại của nhóm tôi. 
Hãy đóng vai trò là một Chuyên gia kiểm định thiết kế phần mềm, phân tích và phản biện xem sơ đồ này đã hợp lý, tối ưu và bao quát hết các yêu cầu đặc thù của đề tài dưới đây chưa.
### 1. BỐI CẢNH ĐỀ TÀI &amp; YÊU CẦU KỸ THUẬT CỦA ĐỒ ÁN:
- Tên đề tài: Hệ thống Mô phỏng Quản lý Bảng lương Nhân viên (Employee Payroll Management Simulation).
- Kiến trúc bắt buộc: MVC (Model - View - Controller). Toàn bộ logic tính toán, xử lý đồng bộ phải nằm ở Model/Repository. View và Controller chỉ nhận input và điều phối.
- Lưu trữ dữ liệu: Sử dụng file CSV hoàn toàn (không dùng Database). Quy mô dữ liệu lớn (tổng &gt;= 10.000 dòng dữ liệu).
- Câu hỏi nghiên cứu cốt lõi (Research Question): Khi nhiều luồng (HR Threads) cùng xử lý bảng lương và trừ ngày phép song song trên file CSV, cơ chế khóa/đồng bộ hóa nào (Synchronized per-employee, Optimistic Locking, File Lock) đảm bảo 0% lỗi xung đột dữ liệu (ngăn Double Payment, ngăn Wrong Leave Deduction) và đạt hiệu năng (TPS) tốt nhất. Hệ thống có một bộ công cụ mô phỏng (Simulator Tool) để chứng minh điều này bằng số liệu thực nghiệm.
### 2. YÊU CẦU BẠN KIỂM TRA TRÊN SƠ ĐỒ USE CASE (ANALYZE &amp; CRITIQUE):
Hãy nhìn vào hình ảnh sơ đồ Use Case tôi cung cấp và đánh giá chi tiết theo 4 khía cạnh sau:
A. Về phía các Tác nhân (Actors):
- Các tác nhân như "HR Staff", "Payroll Admin", "Employee", "Department Manager", "System" trong hình đã thực sự đúng với bản chất của bài toán mô phỏng đa luồng chưa?
- Có bị thừa hay thiếu tác nhân nào không? (Gợi ý từ giảng viên trên lớp: Đồ án này có bộ công cụ "Simulator Tool" chạy giả lập luồng hệ thống - HR Threads, liệu việc tách các Actor như trong hình đã phản ánh đúng bản chất "người vận hành giả lập" và "luồng hệ thống tự động" chưa?)
B. Về phân vùng nghiệp vụ (Packages/Areas) và tính đúng đắn của Use Cases:
- Các use cases trong 6 phân vùng: Employee Management, Attendance, Leave Management, Payroll Processing, Synchronization &amp; Concurrency, Reporting đã đầy đủ chưa?
- Có Use Case nào đang bị đặt sai phân vùng hoặc không thực tế trong phạm vi đồ án LAB211 (chỉ tương tác với file CSV qua Console/giao diện cơ bản) không? Ví dụ: Các tính năng chấm công, duyệt phép của Manager/Employee có thực sự cần thiết hay nó thuộc về luồng giả lập/HR Staff chuẩn bị dữ liệu?
C. Về mối quan hệ (Association, &lt;&lt;include&gt;&gt;, &lt;&lt;extend&gt;&gt;):
- Các mũi tên nối giữa Actor với Use Case, và quan hệ giữa các Use Case (như include/extend) trong hình đã chuẩn cú pháp UML chưa?
- Mối quan hệ ở vùng "4. Payroll Processing" và "5. Synchronization &amp; Concurrency" đã thể hiện được việc: "Khi chạy mô phỏng xử lý lương/phép thì bắt buộc phải áp dụng (include) các cơ chế khóa" và "Sau khi chạy thì phải kích hoạt hàm quét tìm lỗi (Detect Error)" chưa? Sơ đồ hiện tại đang biểu diễn các mối quan hệ này hợp lý chưa?
D. Đánh giá chấm điểm theo Tiêu chí Đồ án (Rubric: Decomposition &amp; Abstraction):
- Sơ đồ này nếu nộp lên có bị chấm là "Quá loãng, làm rộng nhưng không sâu vào bài toán Concurrency" hoặc "Sai bản chất hệ thống mô phỏng" không?
- Chỉ ra giúp tôi TOP 3 đến 5 điểm yếu/sai sót lớn nhất trên sơ đồ cần phải sửa ngay lập tức để không bị trừ điểm.
Hãy đưa ra nhận xét chi tiết, thẳng thắn và gợi ý cách sửa đổi cụ thể cho từng lỗi (nếu có).</t>
  </si>
  <si>
    <t>AI nhận xét sơ đồ trình bày đẹp nhưng hơi rộng và chưa tập trung đủ vào bản chất chính của đề tài là Simulator + Concurrency trên CSV. AI chỉ ra rằng Employee và Department Manager có thể là actor phụ, System / HR Threads cần được hiểu đúng là tiến trình tự động, không phải người dùng. AI cũng góp ý cần nhấn mạnh hơn các phần như NO_LOCK, Detect Double Payment, Detect Wrong Leave Deduction, Measure TPS và tránh để các mũi tên include/extend bị sai hoặc chồng chéo.</t>
  </si>
  <si>
    <t>Critical Thinking: Sau khi xem feedback của AI, tôi không áp dụng toàn bộ theo hướng AI đề xuất. AI có gợi ý nhấn mạnh sâu vào các phần kỹ thuật như NO_LOCK, Detect Double Payment, Detect Wrong Leave Deduction và Measure TPS. Tuy nhiên, sau khi kiểm tra lại chuẩn Use Case Diagram, tôi nhận ra use case nên tập trung vào các chức năng mà actor có thể trực tiếp sử dụng, không nên vẽ quá nhiều bước xử lý nội bộ hoặc thuật toán bên trong hệ thống.
Contextualization: Vì đồ án LAB211 của nhóm là hệ thống Payroll Simulation dùng Java OOP, MVC và CSV, tôi quyết định giữ lại các nhóm chức năng chính như Authentication, Employee Management, Attendance Management, Leave Processing, Payroll Processing, Reporting và Synchronization/Simulation. Những chức năng quá kỹ thuật như từng bước tính lương chi tiết hoặc từng cơ chế sync riêng lẻ được giảm bớt để sơ đồ không bị rối.
Creative Synthesis: Tôi kết hợp feedback của AI với yêu cầu thực tế của Use Case Diagram. Tôi thêm khu vực Attendance Management vì use case cuối đã có phần quản lý chấm công. Đồng thời, tôi tách các use case chung chung thành các chức năng CRUD rõ ràng hơn, ví dụ Add Employee, Update Employee, Delete Employee, Add Department, View/Search/Update/Delete Department.
Decision: Tôi chỉnh bản cuối theo hướng user-facing hơn: chỉ thể hiện những chức năng actor có thể dùng, bỏ bớt các bước xử lý nội bộ, giảm mũi tên chồng chéo và làm rõ từng khu vực nghiệp vụ. Quyết định này giúp Use Case Diagram đúng chuẩn UML hơn và phù hợp hơn với mục tiêu báo cáo LAB211.</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</si>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</sst>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13" fillId="0" borderId="0" applyFont="0" applyFill="0" applyBorder="0" applyAlignment="0" applyProtection="0">
      <alignment vertical="center"/>
    </xf>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0" fillId="4" borderId="0" xfId="0" applyFill="1"/>
    <xf numFmtId="180"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15" workbookViewId="0">
      <selection activeCell="C12" sqref="C12"/>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spans="1:5">
      <c r="A1" s="1" t="s">
        <v>0</v>
      </c>
    </row>
    <row r="3" ht="18" spans="1:5">
      <c r="A3" s="3" t="s">
        <v>1</v>
      </c>
    </row>
    <row r="4" spans="1:5">
      <c r="A4" s="18" t="s">
        <v>2</v>
      </c>
      <c r="C4" t="s">
        <v>3</v>
      </c>
    </row>
    <row r="5" spans="1:5">
      <c r="A5" s="18" t="s">
        <v>4</v>
      </c>
      <c r="C5" t="s">
        <v>5</v>
      </c>
    </row>
    <row r="6" spans="1:5">
      <c r="A6" s="18" t="s">
        <v>6</v>
      </c>
      <c r="C6" t="s">
        <v>7</v>
      </c>
    </row>
    <row r="7" spans="1:5">
      <c r="A7" s="18" t="s">
        <v>8</v>
      </c>
      <c r="C7" t="s">
        <v>9</v>
      </c>
    </row>
    <row r="9" ht="18" spans="1:5">
      <c r="A9" s="3" t="s">
        <v>10</v>
      </c>
    </row>
    <row r="10" spans="1:5">
      <c r="A10" s="18" t="s">
        <v>11</v>
      </c>
      <c r="C10" t="s">
        <v>12</v>
      </c>
    </row>
    <row r="11" spans="1:5">
      <c r="A11" s="18" t="s">
        <v>13</v>
      </c>
      <c r="C11" s="19" t="s">
        <v>14</v>
      </c>
    </row>
    <row r="12" spans="1:5">
      <c r="A12" s="18" t="s">
        <v>15</v>
      </c>
      <c r="C12" s="20" t="e">
        <f>C11/C10</f>
        <v>#VALUE!</v>
      </c>
      <c r="E12" s="21" t="s">
        <v>16</v>
      </c>
    </row>
    <row r="13" spans="1:5">
      <c r="A13" s="18" t="s">
        <v>17</v>
      </c>
      <c r="C13" s="19" t="s">
        <v>18</v>
      </c>
    </row>
    <row r="15" ht="18" spans="1:5">
      <c r="A15" s="3" t="s">
        <v>19</v>
      </c>
    </row>
    <row r="16" spans="1:5">
      <c r="A16" s="4" t="s">
        <v>20</v>
      </c>
      <c r="B16" s="4" t="s">
        <v>21</v>
      </c>
      <c r="C16" s="4" t="s">
        <v>22</v>
      </c>
      <c r="D16" s="4" t="s">
        <v>23</v>
      </c>
    </row>
    <row r="17" spans="1:4">
      <c r="A17" s="14" t="s">
        <v>24</v>
      </c>
      <c r="B17" s="14" t="s">
        <v>25</v>
      </c>
      <c r="C17" s="14" t="s">
        <v>26</v>
      </c>
      <c r="D17" s="14" t="s">
        <v>27</v>
      </c>
    </row>
    <row r="18" spans="1:4">
      <c r="A18" s="14" t="s">
        <v>28</v>
      </c>
      <c r="B18" s="14" t="s">
        <v>29</v>
      </c>
      <c r="C18" s="14" t="s">
        <v>30</v>
      </c>
      <c r="D18" s="14" t="s">
        <v>31</v>
      </c>
    </row>
    <row r="19" spans="1:4">
      <c r="A19" s="14" t="s">
        <v>32</v>
      </c>
      <c r="B19" s="14" t="s">
        <v>33</v>
      </c>
      <c r="C19" s="14" t="s">
        <v>26</v>
      </c>
      <c r="D19" s="14" t="s">
        <v>34</v>
      </c>
    </row>
    <row r="20" spans="1:4">
      <c r="A20" s="14" t="s">
        <v>35</v>
      </c>
      <c r="B20" s="14" t="s">
        <v>36</v>
      </c>
      <c r="C20" s="14" t="s">
        <v>36</v>
      </c>
      <c r="D20" s="14" t="s">
        <v>36</v>
      </c>
    </row>
    <row r="22" ht="18" spans="1:4">
      <c r="A22" s="3" t="s">
        <v>37</v>
      </c>
    </row>
    <row r="23" spans="1:4">
      <c r="A23" s="4" t="s">
        <v>38</v>
      </c>
      <c r="B23" s="4" t="s">
        <v>39</v>
      </c>
      <c r="C23" s="4" t="s">
        <v>40</v>
      </c>
    </row>
    <row r="24" spans="1:4">
      <c r="A24" s="14" t="s">
        <v>41</v>
      </c>
      <c r="B24" s="22">
        <v>0</v>
      </c>
      <c r="C24" s="13" t="s">
        <v>42</v>
      </c>
    </row>
    <row r="25" spans="1:4">
      <c r="A25" s="14" t="s">
        <v>43</v>
      </c>
      <c r="B25" s="22">
        <v>0</v>
      </c>
      <c r="C25" s="13" t="s">
        <v>42</v>
      </c>
    </row>
    <row r="26" spans="1:4">
      <c r="A26" s="14" t="s">
        <v>44</v>
      </c>
      <c r="B26" s="22">
        <v>0</v>
      </c>
      <c r="C26" s="13" t="s">
        <v>42</v>
      </c>
    </row>
    <row r="27" spans="1:4">
      <c r="A27" s="14" t="s">
        <v>45</v>
      </c>
      <c r="B27" s="22">
        <v>0</v>
      </c>
      <c r="C27" s="13" t="s">
        <v>42</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topLeftCell="A4" workbookViewId="0">
      <selection activeCell="A8" sqref="A8"/>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46</v>
      </c>
    </row>
    <row r="2" ht="30" customHeight="1" spans="1:8">
      <c r="A2" s="17" t="s">
        <v>47</v>
      </c>
    </row>
    <row r="3" ht="40" customHeight="1" spans="1:8">
      <c r="A3" s="4" t="s">
        <v>48</v>
      </c>
      <c r="B3" s="4" t="s">
        <v>49</v>
      </c>
      <c r="C3" s="4" t="s">
        <v>50</v>
      </c>
      <c r="D3" s="4" t="s">
        <v>51</v>
      </c>
      <c r="E3" s="4" t="s">
        <v>52</v>
      </c>
      <c r="F3" s="4" t="s">
        <v>53</v>
      </c>
      <c r="G3" s="4" t="s">
        <v>54</v>
      </c>
      <c r="H3" s="4" t="s">
        <v>55</v>
      </c>
    </row>
    <row r="4" ht="100" customHeight="1" spans="1:8">
      <c r="A4" s="14" t="s">
        <v>56</v>
      </c>
      <c r="B4" s="14" t="s">
        <v>57</v>
      </c>
      <c r="C4" s="14" t="s">
        <v>41</v>
      </c>
      <c r="D4" s="14" t="s">
        <v>58</v>
      </c>
      <c r="E4" s="14" t="s">
        <v>59</v>
      </c>
      <c r="F4" s="14" t="s">
        <v>60</v>
      </c>
      <c r="G4" s="14" t="s">
        <v>61</v>
      </c>
      <c r="H4" s="14" t="s">
        <v>62</v>
      </c>
    </row>
    <row r="5" ht="100" customHeight="1" spans="1:8">
      <c r="A5" s="14" t="s">
        <v>63</v>
      </c>
      <c r="B5" s="14" t="s">
        <v>64</v>
      </c>
      <c r="C5" s="14" t="s">
        <v>45</v>
      </c>
      <c r="D5" s="14" t="s">
        <v>65</v>
      </c>
      <c r="E5" s="14" t="s">
        <v>66</v>
      </c>
      <c r="F5" s="14" t="s">
        <v>67</v>
      </c>
      <c r="G5" s="14" t="s">
        <v>68</v>
      </c>
      <c r="H5" s="14" t="s">
        <v>69</v>
      </c>
    </row>
    <row r="6" ht="100" customHeight="1" spans="1:8">
      <c r="A6" s="14" t="s">
        <v>70</v>
      </c>
      <c r="B6" s="14" t="s">
        <v>71</v>
      </c>
      <c r="C6" s="14" t="s">
        <v>72</v>
      </c>
      <c r="D6" s="14" t="s">
        <v>73</v>
      </c>
      <c r="E6" s="14" t="s">
        <v>74</v>
      </c>
      <c r="F6" s="14" t="s">
        <v>75</v>
      </c>
      <c r="G6" s="14" t="s">
        <v>76</v>
      </c>
      <c r="H6" s="14" t="s">
        <v>77</v>
      </c>
    </row>
    <row r="7" ht="80" customHeight="1" spans="1:8">
      <c r="A7" s="23" t="s">
        <v>56</v>
      </c>
      <c r="B7" s="14" t="s">
        <v>71</v>
      </c>
      <c r="C7" s="14" t="s">
        <v>78</v>
      </c>
      <c r="D7" s="14" t="s">
        <v>79</v>
      </c>
      <c r="E7" s="14" t="s">
        <v>80</v>
      </c>
      <c r="F7" s="14" t="s">
        <v>81</v>
      </c>
      <c r="G7" s="14" t="s">
        <v>82</v>
      </c>
      <c r="H7" s="14"/>
    </row>
    <row r="8" ht="80" customHeight="1" spans="1:8">
      <c r="A8" s="14"/>
      <c r="B8" s="14"/>
      <c r="C8" s="14"/>
      <c r="D8" s="14"/>
      <c r="E8" s="14"/>
      <c r="F8" s="14"/>
      <c r="G8" s="14"/>
      <c r="H8" s="14"/>
    </row>
    <row r="9" ht="80" customHeight="1" spans="1:8">
      <c r="A9" s="14"/>
      <c r="B9" s="14"/>
      <c r="C9" s="14"/>
      <c r="D9" s="14"/>
      <c r="E9" s="14"/>
      <c r="F9" s="14"/>
      <c r="G9" s="14"/>
      <c r="H9" s="14"/>
    </row>
    <row r="10" ht="80" customHeight="1" spans="1:8">
      <c r="A10" s="14"/>
      <c r="B10" s="14"/>
      <c r="C10" s="14"/>
      <c r="D10" s="14"/>
      <c r="E10" s="14"/>
      <c r="F10" s="14"/>
      <c r="G10" s="14"/>
      <c r="H10" s="14"/>
    </row>
    <row r="11" ht="80" customHeight="1" spans="1:8">
      <c r="A11" s="14"/>
      <c r="B11" s="14"/>
      <c r="C11" s="14"/>
      <c r="D11" s="14"/>
      <c r="E11" s="14"/>
      <c r="F11" s="14"/>
      <c r="G11" s="14"/>
      <c r="H11" s="14"/>
    </row>
    <row r="12" ht="80" customHeight="1" spans="1:8">
      <c r="A12" s="14"/>
      <c r="B12" s="14"/>
      <c r="C12" s="14"/>
      <c r="D12" s="14"/>
      <c r="E12" s="14"/>
      <c r="F12" s="14"/>
      <c r="G12" s="14"/>
      <c r="H12" s="14"/>
    </row>
    <row r="13" ht="80" customHeight="1" spans="1:8">
      <c r="A13" s="14"/>
      <c r="B13" s="14"/>
      <c r="C13" s="14"/>
      <c r="D13" s="14"/>
      <c r="E13" s="14"/>
      <c r="F13" s="14"/>
      <c r="G13" s="14"/>
      <c r="H13" s="14"/>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1" sqref="A1:F1"/>
    </sheetView>
  </sheetViews>
  <sheetFormatPr defaultColWidth="9" defaultRowHeight="14.4" outlineLevelCol="5"/>
  <cols>
    <col min="1" max="1" width="12" customWidth="1"/>
    <col min="2" max="2" width="22" customWidth="1"/>
    <col min="3" max="6" width="30" customWidth="1"/>
  </cols>
  <sheetData>
    <row r="1" ht="21" spans="1:6">
      <c r="A1" s="15" t="s">
        <v>83</v>
      </c>
    </row>
    <row r="2" spans="1:6">
      <c r="A2" s="16" t="s">
        <v>84</v>
      </c>
    </row>
    <row r="3" ht="40" customHeight="1" spans="1:6">
      <c r="A3" s="4" t="s">
        <v>85</v>
      </c>
      <c r="B3" s="4" t="s">
        <v>86</v>
      </c>
      <c r="C3" s="4" t="s">
        <v>87</v>
      </c>
      <c r="D3" s="4" t="s">
        <v>88</v>
      </c>
      <c r="E3" s="4" t="s">
        <v>89</v>
      </c>
      <c r="F3" s="4" t="s">
        <v>90</v>
      </c>
    </row>
    <row r="4" ht="60" customHeight="1" spans="1:6">
      <c r="A4" s="14" t="s">
        <v>70</v>
      </c>
      <c r="B4" s="14" t="s">
        <v>91</v>
      </c>
      <c r="C4" s="14" t="s">
        <v>92</v>
      </c>
      <c r="D4" s="14" t="s">
        <v>93</v>
      </c>
      <c r="E4" s="14" t="s">
        <v>94</v>
      </c>
      <c r="F4" s="14" t="s">
        <v>95</v>
      </c>
    </row>
    <row r="5" spans="1:6">
      <c r="A5" s="14" t="s">
        <v>35</v>
      </c>
      <c r="B5" s="14" t="s">
        <v>36</v>
      </c>
      <c r="C5" s="14" t="s">
        <v>36</v>
      </c>
      <c r="D5" s="14" t="s">
        <v>36</v>
      </c>
      <c r="E5" s="14" t="s">
        <v>36</v>
      </c>
      <c r="F5" s="14" t="s">
        <v>36</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spans="1:6">
      <c r="A30" s="3" t="s">
        <v>96</v>
      </c>
    </row>
    <row r="31" spans="1:6">
      <c r="A31" s="12" t="s">
        <v>97</v>
      </c>
      <c r="B31" s="12" t="s">
        <v>98</v>
      </c>
      <c r="C31" s="12" t="s">
        <v>99</v>
      </c>
    </row>
    <row r="32" ht="28.8" spans="1:6">
      <c r="A32" s="14" t="s">
        <v>91</v>
      </c>
      <c r="B32" s="14" t="s">
        <v>100</v>
      </c>
      <c r="C32" s="14" t="s">
        <v>101</v>
      </c>
    </row>
    <row r="33" ht="28.8" spans="1:3">
      <c r="A33" s="14" t="s">
        <v>102</v>
      </c>
      <c r="B33" s="14" t="s">
        <v>103</v>
      </c>
      <c r="C33" s="14" t="s">
        <v>104</v>
      </c>
    </row>
    <row r="34" ht="28.8" spans="1:3">
      <c r="A34" s="14" t="s">
        <v>105</v>
      </c>
      <c r="B34" s="14" t="s">
        <v>106</v>
      </c>
      <c r="C34" s="14" t="s">
        <v>107</v>
      </c>
    </row>
    <row r="35" ht="28.8" spans="1:3">
      <c r="A35" s="14" t="s">
        <v>108</v>
      </c>
      <c r="B35" s="14" t="s">
        <v>109</v>
      </c>
      <c r="C35" s="14" t="s">
        <v>110</v>
      </c>
    </row>
    <row r="36" ht="43.2" spans="1:3">
      <c r="A36" s="14" t="s">
        <v>111</v>
      </c>
      <c r="B36" s="14" t="s">
        <v>112</v>
      </c>
      <c r="C36" s="14" t="s">
        <v>113</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opLeftCell="A3" workbookViewId="0">
      <selection activeCell="B11" sqref="B11"/>
    </sheetView>
  </sheetViews>
  <sheetFormatPr defaultColWidth="9" defaultRowHeight="14.4" outlineLevelCol="3"/>
  <cols>
    <col min="1" max="1" width="8" customWidth="1"/>
    <col min="2" max="2" width="60" customWidth="1"/>
    <col min="3" max="3" width="10" customWidth="1"/>
    <col min="4" max="4" width="30" customWidth="1"/>
  </cols>
  <sheetData>
    <row r="1" ht="21" spans="1:4">
      <c r="A1" s="1" t="s">
        <v>114</v>
      </c>
    </row>
    <row r="2" spans="1:4">
      <c r="A2" s="2" t="s">
        <v>115</v>
      </c>
    </row>
    <row r="4" ht="18" spans="1:4">
      <c r="A4" s="3" t="s">
        <v>116</v>
      </c>
    </row>
    <row r="5" spans="1:4">
      <c r="A5" s="4" t="s">
        <v>117</v>
      </c>
      <c r="B5" s="5" t="s">
        <v>118</v>
      </c>
      <c r="C5" s="4" t="s">
        <v>119</v>
      </c>
      <c r="D5" s="5" t="s">
        <v>120</v>
      </c>
    </row>
    <row r="6" spans="1:4">
      <c r="A6" s="6" t="s">
        <v>121</v>
      </c>
      <c r="B6" s="7" t="s">
        <v>122</v>
      </c>
      <c r="C6" s="6" t="s">
        <v>123</v>
      </c>
      <c r="D6" s="7" t="s">
        <v>36</v>
      </c>
    </row>
    <row r="7" spans="1:4">
      <c r="A7" s="6" t="s">
        <v>124</v>
      </c>
      <c r="B7" s="7" t="s">
        <v>125</v>
      </c>
      <c r="C7" s="6" t="s">
        <v>123</v>
      </c>
      <c r="D7" s="7" t="s">
        <v>36</v>
      </c>
    </row>
    <row r="8" spans="1:4">
      <c r="A8" s="6" t="s">
        <v>126</v>
      </c>
      <c r="B8" s="7" t="s">
        <v>127</v>
      </c>
      <c r="C8" s="6" t="s">
        <v>123</v>
      </c>
      <c r="D8" s="7" t="s">
        <v>36</v>
      </c>
    </row>
    <row r="9" spans="1:4">
      <c r="A9" s="6" t="s">
        <v>128</v>
      </c>
      <c r="B9" s="7" t="s">
        <v>129</v>
      </c>
      <c r="C9" s="6" t="s">
        <v>123</v>
      </c>
      <c r="D9" s="7" t="s">
        <v>36</v>
      </c>
    </row>
    <row r="10" spans="1:4">
      <c r="A10" s="6" t="s">
        <v>130</v>
      </c>
      <c r="B10" s="7" t="s">
        <v>131</v>
      </c>
      <c r="C10" s="6" t="s">
        <v>123</v>
      </c>
      <c r="D10" s="7" t="s">
        <v>36</v>
      </c>
    </row>
    <row r="12" ht="18" spans="1:4">
      <c r="A12" s="3" t="s">
        <v>132</v>
      </c>
    </row>
    <row r="13" spans="1:4">
      <c r="A13" s="4" t="s">
        <v>117</v>
      </c>
      <c r="B13" s="5" t="s">
        <v>118</v>
      </c>
      <c r="C13" s="4" t="s">
        <v>119</v>
      </c>
      <c r="D13" s="5" t="s">
        <v>133</v>
      </c>
    </row>
    <row r="14" spans="1:4">
      <c r="A14" s="6" t="s">
        <v>121</v>
      </c>
      <c r="B14" s="7" t="s">
        <v>134</v>
      </c>
      <c r="C14" s="6" t="s">
        <v>123</v>
      </c>
      <c r="D14" s="7" t="s">
        <v>36</v>
      </c>
    </row>
    <row r="15" spans="1:4">
      <c r="A15" s="6" t="s">
        <v>124</v>
      </c>
      <c r="B15" s="7" t="s">
        <v>135</v>
      </c>
      <c r="C15" s="6" t="s">
        <v>123</v>
      </c>
      <c r="D15" s="7" t="s">
        <v>36</v>
      </c>
    </row>
    <row r="16" spans="1:4">
      <c r="A16" s="6" t="s">
        <v>126</v>
      </c>
      <c r="B16" s="7" t="s">
        <v>136</v>
      </c>
      <c r="C16" s="6" t="s">
        <v>123</v>
      </c>
      <c r="D16" s="7" t="s">
        <v>36</v>
      </c>
    </row>
    <row r="17" spans="1:4">
      <c r="A17" s="6" t="s">
        <v>128</v>
      </c>
      <c r="B17" s="7" t="s">
        <v>137</v>
      </c>
      <c r="C17" s="6" t="s">
        <v>123</v>
      </c>
      <c r="D17" s="7" t="s">
        <v>36</v>
      </c>
    </row>
    <row r="18" spans="1:4">
      <c r="A18" s="6" t="s">
        <v>130</v>
      </c>
      <c r="B18" s="7" t="s">
        <v>138</v>
      </c>
      <c r="C18" s="6" t="s">
        <v>123</v>
      </c>
      <c r="D18" s="7" t="s">
        <v>36</v>
      </c>
    </row>
    <row r="20" ht="15.6" spans="1:4">
      <c r="A20" s="8" t="s">
        <v>139</v>
      </c>
    </row>
    <row r="21" spans="1:4">
      <c r="A21" s="9" t="s">
        <v>140</v>
      </c>
    </row>
    <row r="22" spans="1:4">
      <c r="A22" s="9" t="s">
        <v>141</v>
      </c>
    </row>
    <row r="25" ht="18" spans="1:4">
      <c r="A25" s="3" t="s">
        <v>142</v>
      </c>
    </row>
    <row r="26" spans="1:4">
      <c r="A26" s="10" t="s">
        <v>143</v>
      </c>
    </row>
    <row r="27" ht="43.2" spans="1:4">
      <c r="A27" s="11" t="s">
        <v>48</v>
      </c>
      <c r="B27" s="12" t="s">
        <v>144</v>
      </c>
      <c r="C27" s="12" t="s">
        <v>145</v>
      </c>
      <c r="D27" s="12" t="s">
        <v>146</v>
      </c>
    </row>
    <row r="28" spans="1:4">
      <c r="A28" s="13" t="s">
        <v>56</v>
      </c>
      <c r="B28" s="14" t="s">
        <v>36</v>
      </c>
      <c r="C28" s="14" t="s">
        <v>36</v>
      </c>
      <c r="D28" s="14" t="s">
        <v>36</v>
      </c>
    </row>
    <row r="29" spans="1:4">
      <c r="A29" s="13" t="s">
        <v>63</v>
      </c>
      <c r="B29" s="14" t="s">
        <v>36</v>
      </c>
      <c r="C29" s="14" t="s">
        <v>36</v>
      </c>
      <c r="D29" s="14" t="s">
        <v>36</v>
      </c>
    </row>
    <row r="30" spans="1:4">
      <c r="A30" s="13" t="s">
        <v>70</v>
      </c>
      <c r="B30" s="14" t="s">
        <v>36</v>
      </c>
      <c r="C30" s="14" t="s">
        <v>36</v>
      </c>
      <c r="D30" s="14" t="s">
        <v>36</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trieuvy</cp:lastModifiedBy>
  <dcterms:created xsi:type="dcterms:W3CDTF">2026-05-07T22:28:00Z</dcterms:created>
  <dcterms:modified xsi:type="dcterms:W3CDTF">2026-06-03T02:28:26Z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4712E4C81C8B431494F748FD4AC6CBB6_12</vt:lpwstr>
  </property>
  <property fmtid="{D5CDD505-2E9C-101B-9397-08002B2CF9AE}" pid="3" name="KSOProductBuildVer">
    <vt:lpwstr>1033-12.1.0.26880</vt:lpwstr>
  </property>
  <property fmtid="{D5CDD505-2E9C-101B-9397-08002B2CF9AE}" pid="4" name="CalculationRule">
    <vt:i4>0</vt:i4>
  </property>
</Properties>
</file>