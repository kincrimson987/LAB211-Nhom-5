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drawings/drawing1.xml" ContentType="application/vnd.openxmlformats-officedocument.drawing+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2188" windowHeight="10440" activeTab="1"/>
  </bookViews>
  <sheets>
    <sheet name="1. Metadata &amp; Summary" sheetId="1" r:id="rId1"/>
    <sheet name="2. Detailed Audit Log" sheetId="2" r:id="rId2"/>
    <sheet name="3. Hallucination Detection" sheetId="3" r:id="rId3"/>
    <sheet name="4. Self-Assessment Checklist"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<sst xmlns="http://schemas.openxmlformats.org/spreadsheetml/2006/main" count="229" uniqueCount="176">
  <si>
    <t>AI AUDIT LOG - METADATA &amp; SUMMARY</t>
  </si>
  <si>
    <t>STUDENT INFORMATION</t>
  </si>
  <si>
    <t>Student Name:</t>
  </si>
  <si>
    <t>Lương Triều Vỹ</t>
  </si>
  <si>
    <t>Student ID:</t>
  </si>
  <si>
    <t>QE200035</t>
  </si>
  <si>
    <t>Course:</t>
  </si>
  <si>
    <t>LAB211</t>
  </si>
  <si>
    <t>Assignment:</t>
  </si>
  <si>
    <t>Employee Payroll Management System</t>
  </si>
  <si>
    <t>AI USAGE SUMMARY</t>
  </si>
  <si>
    <t>Total Prompts Used (all AI tools):</t>
  </si>
  <si>
    <t>[e.g., ~150]</t>
  </si>
  <si>
    <t>Core Prompts Logged:</t>
  </si>
  <si>
    <t>[e.g., 18]</t>
  </si>
  <si>
    <t>Selection Ratio:</t>
  </si>
  <si>
    <t>Should be 10-20%</t>
  </si>
  <si>
    <t>Hallucination Detected:</t>
  </si>
  <si>
    <t>[Count]</t>
  </si>
  <si>
    <t>AI TOOLS USED</t>
  </si>
  <si>
    <t>AI Tool</t>
  </si>
  <si>
    <t>Purpose</t>
  </si>
  <si>
    <t>Frequency</t>
  </si>
  <si>
    <t>Main Value</t>
  </si>
  <si>
    <t>ChatGPT</t>
  </si>
  <si>
    <t>Code generation, debugging</t>
  </si>
  <si>
    <t>High</t>
  </si>
  <si>
    <t>Rapid prototyping</t>
  </si>
  <si>
    <t>Claude</t>
  </si>
  <si>
    <t>Requirement analysis, design review</t>
  </si>
  <si>
    <t>Medium</t>
  </si>
  <si>
    <t>Deep reflection</t>
  </si>
  <si>
    <t>GitHub Copilot</t>
  </si>
  <si>
    <t>Auto-completion</t>
  </si>
  <si>
    <t>Speed up coding</t>
  </si>
  <si>
    <t>[Add more...]</t>
  </si>
  <si>
    <t/>
  </si>
  <si>
    <t>CORE PROMPTS DISTRIBUTION BY DTC COMPONENT</t>
  </si>
  <si>
    <t>DTC Component</t>
  </si>
  <si>
    <t>Number of Prompts</t>
  </si>
  <si>
    <t>Required (Min)</t>
  </si>
  <si>
    <t>Decomposition</t>
  </si>
  <si>
    <t>≥ 1</t>
  </si>
  <si>
    <t>Pattern Recognition</t>
  </si>
  <si>
    <t>Abstraction</t>
  </si>
  <si>
    <t>Algorithms</t>
  </si>
  <si>
    <t>DETAILED AI AUDIT LOG</t>
  </si>
  <si>
    <t>INSTRUCTIONS: Chỉ ghi CORE PROMPTS (Decision/Problem-Solving/Verification). Mỗi entry phải trả lời đầy đủ 4 câu hỏi trong Human Delta.</t>
  </si>
  <si>
    <t>Entry #</t>
  </si>
  <si>
    <t>Prompt Type</t>
  </si>
  <si>
    <t>Stage/Component</t>
  </si>
  <si>
    <t>Problem/Context</t>
  </si>
  <si>
    <t>Prompt to AI</t>
  </si>
  <si>
    <t>AI Response (Summary)</t>
  </si>
  <si>
    <t>Human Delta &amp; Reflection</t>
  </si>
  <si>
    <t>Evidence</t>
  </si>
  <si>
    <t>001</t>
  </si>
  <si>
    <t>VERIFICATION</t>
  </si>
  <si>
    <t>Use Case Review</t>
  </si>
  <si>
    <t>Cần kiểm tra Use Case Diagram có đúng yêu cầu đề tài LAB211 Payroll Simulation không. Sợ sơ đồ bị quá rộng, sai actor, sai include/extend hoặc chưa tập trung vào concurrency.</t>
  </si>
  <si>
    <t>Bạn là một Giảng viên chấm điểm đồ án môn LAB211 (Lập trình hướng đối tượng với Java) tại FPT University. Tôi gửi cho bạn ảnh chụp sơ đồ Use Case (Use Case Diagram) hiện tại của nhóm tôi. 
Hãy đóng vai trò là một Chuyên gia kiểm định thiết kế phần mềm, phân tích và phản biện xem sơ đồ này đã hợp lý, tối ưu và bao quát hết các yêu cầu đặc thù của đề tài dưới đây chưa.
### 1. BỐI CẢNH ĐỀ TÀI &amp; YÊU CẦU KỸ THUẬT CỦA ĐỒ ÁN:
- Tên đề tài: Hệ thống Mô phỏng Quản lý Bảng lương Nhân viên (Employee Payroll Management Simulation).
- Kiến trúc bắt buộc: MVC (Model - View - Controller). Toàn bộ logic tính toán, xử lý đồng bộ phải nằm ở Model/Repository. View và Controller chỉ nhận input và điều phối.
- Lưu trữ dữ liệu: Sử dụng file CSV hoàn toàn (không dùng Database). Quy mô dữ liệu lớn (tổng &gt;= 10.000 dòng dữ liệu).
- Câu hỏi nghiên cứu cốt lõi (Research Question): Khi nhiều luồng (HR Threads) cùng xử lý bảng lương và trừ ngày phép song song trên file CSV, cơ chế khóa/đồng bộ hóa nào (Synchronized per-employee, Optimistic Locking, File Lock) đảm bảo 0% lỗi xung đột dữ liệu (ngăn Double Payment, ngăn Wrong Leave Deduction) và đạt hiệu năng (TPS) tốt nhất. Hệ thống có một bộ công cụ mô phỏng (Simulator Tool) để chứng minh điều này bằng số liệu thực nghiệm.
### 2. YÊU CẦU BẠN KIỂM TRA TRÊN SƠ ĐỒ USE CASE (ANALYZE &amp; CRITIQUE):
Hãy nhìn vào hình ảnh sơ đồ Use Case tôi cung cấp và đánh giá chi tiết theo 4 khía cạnh sau:
A. Về phía các Tác nhân (Actors):
- Các tác nhân như "HR Staff", "Payroll Admin", "Employee", "Department Manager", "System" trong hình đã thực sự đúng với bản chất của bài toán mô phỏng đa luồng chưa?
- Có bị thừa hay thiếu tác nhân nào không? (Gợi ý từ giảng viên trên lớp: Đồ án này có bộ công cụ "Simulator Tool" chạy giả lập luồng hệ thống - HR Threads, liệu việc tách các Actor như trong hình đã phản ánh đúng bản chất "người vận hành giả lập" và "luồng hệ thống tự động" chưa?)
B. Về phân vùng nghiệp vụ (Packages/Areas) và tính đúng đắn của Use Cases:
- Các use cases trong 6 phân vùng: Employee Management, Attendance, Leave Management, Payroll Processing, Synchronization &amp; Concurrency, Reporting đã đầy đủ chưa?
- Có Use Case nào đang bị đặt sai phân vùng hoặc không thực tế trong phạm vi đồ án LAB211 (chỉ tương tác với file CSV qua Console/giao diện cơ bản) không? Ví dụ: Các tính năng chấm công, duyệt phép của Manager/Employee có thực sự cần thiết hay nó thuộc về luồng giả lập/HR Staff chuẩn bị dữ liệu?
C. Về mối quan hệ (Association, &lt;&lt;include&gt;&gt;, &lt;&lt;extend&gt;&gt;):
- Các mũi tên nối giữa Actor với Use Case, và quan hệ giữa các Use Case (như include/extend) trong hình đã chuẩn cú pháp UML chưa?
- Mối quan hệ ở vùng "4. Payroll Processing" và "5. Synchronization &amp; Concurrency" đã thể hiện được việc: "Khi chạy mô phỏng xử lý lương/phép thì bắt buộc phải áp dụng (include) các cơ chế khóa" và "Sau khi chạy thì phải kích hoạt hàm quét tìm lỗi (Detect Error)" chưa? Sơ đồ hiện tại đang biểu diễn các mối quan hệ này hợp lý chưa?
D. Đánh giá chấm điểm theo Tiêu chí Đồ án (Rubric: Decomposition &amp; Abstraction):
- Sơ đồ này nếu nộp lên có bị chấm là "Quá loãng, làm rộng nhưng không sâu vào bài toán Concurrency" hoặc "Sai bản chất hệ thống mô phỏng" không?
- Chỉ ra giúp tôi TOP 3 đến 5 điểm yếu/sai sót lớn nhất trên sơ đồ cần phải sửa ngay lập tức để không bị trừ điểm.
Hãy đưa ra nhận xét chi tiết, thẳng thắn và gợi ý cách sửa đổi cụ thể cho từng lỗi (nếu có).</t>
  </si>
  <si>
    <t>AI nhận xét sơ đồ trình bày đẹp nhưng hơi rộng và chưa tập trung đủ vào bản chất chính của đề tài là Simulator + Concurrency trên CSV. AI chỉ ra rằng Employee và Department Manager có thể là actor phụ, System / HR Threads cần được hiểu đúng là tiến trình tự động, không phải người dùng. AI cũng góp ý cần nhấn mạnh hơn các phần như NO_LOCK, Detect Double Payment, Detect Wrong Leave Deduction, Measure TPS và tránh để các mũi tên include/extend bị sai hoặc chồng chéo.</t>
  </si>
  <si>
    <t>Critical Thinking: Sau khi xem feedback của AI, tôi không áp dụng toàn bộ theo hướng AI đề xuất. AI có gợi ý nhấn mạnh sâu vào các phần kỹ thuật như NO_LOCK, Detect Double Payment, Detect Wrong Leave Deduction và Measure TPS. Tuy nhiên, sau khi kiểm tra lại chuẩn Use Case Diagram, tôi nhận ra use case nên tập trung vào các chức năng mà actor có thể trực tiếp sử dụng, không nên vẽ quá nhiều bước xử lý nội bộ hoặc thuật toán bên trong hệ thống.
Contextualization: Vì đồ án LAB211 của nhóm là hệ thống Payroll Simulation dùng Java OOP, MVC và CSV, tôi quyết định giữ lại các nhóm chức năng chính như Authentication, Employee Management, Attendance Management, Leave Processing, Payroll Processing, Reporting và Synchronization/Simulation. Những chức năng quá kỹ thuật như từng bước tính lương chi tiết hoặc từng cơ chế sync riêng lẻ được giảm bớt để sơ đồ không bị rối.
Creative Synthesis: Tôi kết hợp feedback của AI với yêu cầu thực tế của Use Case Diagram. Tôi thêm khu vực Attendance Management vì use case cuối đã có phần quản lý chấm công. Đồng thời, tôi tách các use case chung chung thành các chức năng CRUD rõ ràng hơn, ví dụ Add Employee, Update Employee, Delete Employee, Add Department, View/Search/Update/Delete Department.
Decision: Tôi chỉnh bản cuối theo hướng user-facing hơn: chỉ thể hiện những chức năng actor có thể dùng, bỏ bớt các bước xử lý nội bộ, giảm mũi tên chồng chéo và làm rõ từng khu vực nghiệp vụ. Quyết định này giúp Use Case Diagram đúng chuẩn UML hơn và phù hợp hơn với mục tiêu báo cáo LAB211.</t>
  </si>
  <si>
    <t>002</t>
  </si>
  <si>
    <t>KNOWLEDGE BUILDING / DESIGN DECISION</t>
  </si>
  <si>
    <t>Synchronization &amp; Simulation Area</t>
  </si>
  <si>
    <t>Khi thiết kế Use Case Diagram, tôi chưa hiểu rõ 4 cơ chế đồng bộ nên cần AI giải thích để chuẩn bị thuyết trình và hiểu bản chất của Synchronization &amp; Simulation Area..</t>
  </si>
  <si>
    <t>4 cơ chế đồng bộ hệ thống và giải thích từng cơ chế</t>
  </si>
  <si>
    <t>AI giải thích 4 cơ chế gồm NO_LOCK, SYNCHRONIZED, OPTIMISTIC_LOCKING, và FILE_LOCK. AI mô tả NO_LOCK là không dùng khóa nên nhanh nhưng dễ gây race condition; SYNCHRONIZED dùng khóa trong Java để tránh nhiều thread xử lý cùng lúc; OPTIMISTIC_LOCKING dùng version field để phát hiện xung đột khi ghi; FILE_LOCK khóa trực tiếp file CSV để tránh nhiều thread ghi file cùng lúc. AI cũng so sánh ưu/nhược điểm của từng cơ chế về tốc độ, độ an toàn và khả năng ngăn Double Payment/Wrong Leave Deduction.</t>
  </si>
  <si>
    <t>Critical Thinking: Sau khi hiểu rõ 4 cơ chế, tôi nhận ra chúng là các lựa chọn kỹ thuật bên trong Simulator, không phải chức năng độc lập mà người dùng thao tác trực tiếp. Vì Use Case Diagram nên tập trung vào user-facing functions, tôi quyết định không vẽ riêng Apply NO_LOCK, Apply SYNCHRONIZED, Apply OPTIMISTIC_LOCKING, Apply FILE_LOCK như các use case chính trong bản cuối. Contextualization: Trong đồ án LAB211, các cơ chế này vẫn rất quan trọng để thuyết trình và implement ở Repository/Simulator, nhưng trên Use Case Diagram chỉ cần thể hiện chức năng tổng quát như Run Payroll Simulation hoặc Select Sync Mechanism. Creative Synthesis: Tôi dùng kiến thức AI giải thích để hiểu nội dung kỹ thuật, nhưng khi thiết kế sơ đồ, tôi chuyển chúng thành phần mô tả/ghi chú hoặc logic bên trong thay vì oval use case riêng. Decision: Bản cuối loại bớt các cơ chế sync khỏi use case chính để sơ đồ đúng chuẩn UML hơn, tránh nhầm giữa chức năng người dùng và chi tiết implementation.</t>
  </si>
  <si>
    <t>003</t>
  </si>
  <si>
    <t>KNOWLEDGE BUILDING / ARCHITECTURE EXPLORATION</t>
  </si>
  <si>
    <t>Overall Class Diagram / Project Architecture</t>
  </si>
  <si>
    <t>Tôi đang ở giai đoạn đầu của đồ án LAB211 và cần hiểu tổng quan hệ thống Payroll Management Simulation. Tôi chưa rõ dự án nên chia thành những class nào, class nào thuộc Model, Repository, Controller, View, và mối quan hệ giữa các class ra sao.</t>
  </si>
  <si>
    <t>thiết kế class diagram cho tôi</t>
  </si>
  <si>
    <t>AI đề xuất class diagram tổng quan cho hệ thống theo kiến trúc MVC. AI chia các class thành nhiều nhóm như Model/Entity, Repository, Controller, View, Enum và Utility. Các entity chính được đề xuất gồm Employee, Department, AttendanceRecord, LeaveRequest, LeaveBalance, PayrollEntry, PayrollRun. AI cũng gợi ý các class quan trọng như SalaryCalculator, CsvRepository&lt;T&gt;, PayrollController, LeaveController, SimulatorController, MainView, PayrollView, LeaveView.</t>
  </si>
  <si>
    <t>Tôi dùng câu trả lời của AI như tài liệu tham khảo ban đầu để hiểu tổng quan các class trong dự án. Tôi không dùng ngay làm bản class diagram cuối cùng mà tiếp tục hỏi thêm về số lượng class, cách chia MVC và vai trò từng nhóm class để kiểm tra lại. Nhờ đó tôi hiểu rõ hơn kiến trúc tổng thể trước khi thiết kế bản cuối.</t>
  </si>
  <si>
    <t>004</t>
  </si>
  <si>
    <t>KNOWLEDGE BUILDING / BUSINESS LOGIC</t>
  </si>
  <si>
    <t>Payroll Processing / SalaryCalculator</t>
  </si>
  <si>
    <t>Tôi cần hiểu công thức tính lương cơ bản để thiết kế phần Payroll Processing và xác định logic nào sẽ nằm trong class SalaryCalculator</t>
  </si>
  <si>
    <t>công thức tính lương</t>
  </si>
  <si>
    <t>AI đề xuất công thức tính lương gồm: Gross Salary = Base Salary + Overtime Pay + Bonus - Absent Deduction, Tax = Gross Salary × taxRate, và Net Salary = Gross Salary - Tax. AI cũng giải thích các thành phần như overtime pay, absent deduction, bonus và tax.</t>
  </si>
  <si>
    <t>Tôi không sao chép công thức tổng quan của AI một cách máy móc. Khi phân tích sâu vào logic code thực tế, tôi phát hiện một lỗi logic nghiêm trọng nếu dùng nguyên công thức đề xuất của AI (Gross = Base + Overtime + Bonus - Absent Deduction): Nếu workDays vốn đã là số ngày đi làm thực tế (tức là đã không tính ngày nghỉ rồi), mà lại trừ thêm một khoản Absent Deduction nữa thì nhân viên sẽ bị khấu trừ trùng lặp tận 2 lần cho cùng một ngày nghỉ.
Decision:
Tôi đã chủ động loại bỏ hoàn toàn phần khấu trừ (Absent Deduction) ra khỏi công thức. Thay vào đó, hệ thống sẽ tính lương chuẩn xác bằng cách lấy lương cơ bản chia cho số ngày quy định (26 ngày) rồi nhân trực tiếp với số ngày đi làm thực tế (workDays), vừa tinh gọn code vừa đảm bảo tính công bằng, hợp lý.</t>
  </si>
  <si>
    <t>005</t>
  </si>
  <si>
    <t>KNOWLEDGE BUILDING / CORE CONCEPT</t>
  </si>
  <si>
    <t>Tôi cần hiểu khái niệm race condition vì đây là vấn đề cốt lõi của đề tài Payroll Simulation. Nếu không hiểu race condition thì sẽ khó giải thích vì sao hệ thống cần các cơ chế đồng bộ như synchronized, optimistic locking và file lock.</t>
  </si>
  <si>
    <t>race condiction là gì</t>
  </si>
  <si>
    <t>AI giải thích race condition là lỗi xảy ra khi nhiều thread cùng truy cập và cập nhật chung một dữ liệu tại cùng thời điểm mà không có cơ chế đồng bộ. Trong đề tài Payroll, race condition có thể gây ra hai lỗi chính: Double Payment khi nhiều thread cùng xử lý một PayrollEntry đang PENDING, và Wrong Leave Deduction khi nhiều thread cùng trừ ngày phép của một nhân viên.</t>
  </si>
  <si>
    <t>Tôi dùng câu trả lời của AI để hiểu rõ bản chất của race condition trong bối cảnh project. Sau đó tôi liên hệ trực tiếp với đề tài của nhóm: payroll_entries.csv có thể bị xử lý trùng gây Double Payment, còn leave_balances.csv có thể bị ghi đè gây Wrong Leave Deduction. Từ đó tôi hiểu vì sao phần Synchronization &amp; Simulation Area là trọng tâm của hệ thống.</t>
  </si>
  <si>
    <t>006</t>
  </si>
  <si>
    <t>DESIGN / FLOWCHART GENERATION</t>
  </si>
  <si>
    <t>Payroll Processing Flow</t>
  </si>
  <si>
    <t>Tôi cần tạo flowchart cho luồng xử lý bảng lương hàng tháng vì đây là một trong các flowchart bắt buộc của đồ án. Tôi muốn hiểu thứ tự xử lý payroll từ dữ liệu nhân viên, attendance, tính lương đến lưu kết quả vào CSV.</t>
  </si>
  <si>
    <t>vẽ cho tôi Luồng Xử lý Bảng Lương Hàng Tháng (Monthly Payroll Flow) bằng mã mermaid</t>
  </si>
  <si>
    <t>AI tạo flowchart Mermaid cho Monthly Payroll Flow, gồm các bước: Load Employee Data, Load Attendance Records, Calculate Working Hours, Calculate Overtime Pay, Calculate Absent Deduction, Calculate Bonus, Calculate Gross Salary, Calculate Tax, Calculate Net Salary, Generate PayrollEntry, Save payroll_entries.csv và Generate Payroll Report.</t>
  </si>
  <si>
    <t>Tôi dùng flowchart AI tạo ra để hiểu trình tự xử lý bảng lương hàng tháng. Sau đó tôi kiểm tra lại với yêu cầu project và xác định các bước tính lương chi tiết sẽ thuộc về business logic trong Model/Service, không đặt trong Controller hoặc View. Flowchart này giúp tôi hình dung rõ hơn luồng payroll trước khi thiết kế class SalaryCalculator, PayrollEntry và PayrollController.</t>
  </si>
  <si>
    <t>007</t>
  </si>
  <si>
    <t>VERIFICATION / TESTING</t>
  </si>
  <si>
    <t>Concurrency Control &amp; Testing (Double Payment Test)</t>
  </si>
  <si>
    <t>Cần hiểu sâu và hệ thống hóa logic hoạt động của Double Payment Test (kiểm thử bất đồng bộ) khi có 2 thread xử lý lương trùng lặp, nhằm chuẩn bị nội dung giải trình mạch lạc, thuyết phục với giảng viên chấm điểm.</t>
  </si>
  <si>
    <t>logic của double payment này là gì</t>
  </si>
  <si>
    <t>AI giải thích chi tiết cơ chế giả lập 2 HR thread chạy song song nhờ CountDownLatch để cùng tranh chấp xử lý một payroll entry duy nhất (PENDING). Hệ thống sử dụng hàm processWithSync() để khóa xử lý, đảm bảo chỉ có duy nhất 1 thread thành công chuyển trạng thái sang PROCESSED, thread còn lại sẽ thất bại để ngăn chặn lỗi trả lương 2 lần (Double Payment) trên file CSV.</t>
  </si>
  <si>
    <t>Critical Thinking:
Nhờ phản hồi của AI, tôi không chỉ hiểu code mà còn nắm rõ bản chất cách tạo race condition bằng CountDownLatch (mô phỏng tín hiệu "1, 2, 3, chạy!" để các thread xuất phát cùng lúc).
Tôi đã tự đúc kết được một đoạn giải trình ngắn gọn nhưng đầy đủ kỹ thuật để nói với thầy: nhấn mạnh vào cơ chế khóa của processWithSync(), điều kiện kiểm tra kết quả sau test trong file CSV (successCount == 1 và trạng thái PROCESSED) để chứng minh hệ thống xử lý concurrency chuẩn xác, không bị lỗi double payment.</t>
  </si>
  <si>
    <t>008</t>
  </si>
  <si>
    <t>VERIFICATION / CODE REVIEW</t>
  </si>
  <si>
    <t>Payroll Processing / MVC Architecture Refactoring</t>
  </si>
  <si>
    <t>Cần đánh giá toàn diện class PayrollController theo chuẩn thiết kế MVC và yêu cầu xử lý đơn luồng không dùng khóa (NO_LOCK, Single-thread) của bài tập Week 5 môn LAB211, từ đó tìm ra các điểm bất hợp lý để tối ưu code.</t>
  </si>
  <si>
    <t>kiểm tra giúp tôi thử class PayrollController này đã đúng và phù với yêu cầu chưa</t>
  </si>
  <si>
    <t>AI đánh giá cao việc class tuân thủ đúng tính đa hình OOP (chuyển hàm tính lương sang Employee) và chạy đơn luồng đúng yêu cầu. Tuy nhiên, AI chỉ ra 4 điểm yếu lớn:
1. Constructor thứ 2 dễ gây NullPointerException.
2. Chứa hàm xử lý nghỉ phép không liên quan.
3. Hàm demo chạy đơn luồng rỗng, chỉ in ra màn hình.
4. Lãng phí hiệu năng do gọi hàm split("-") liên tục trong vòng lặp.
AI đã hướng dẫn cách cô đọng lại class và chỉ ra lỗi kiến trúc khi để Controller giữ biến của View.</t>
  </si>
  <si>
    <t>AI đánh giá cao việc class tuân thủ đúng tính đa hình OOP (chuyển hàm tính lương sang Employee) và chạy đơn luồng đúng yêu cầu. Tuy nhiên, AI chỉ ra 4 điểm yếu lớn:
1. Constructor thứ 2 dễ gây NullPointerException.
2. Chứa hàm xử lý nghỉ phép không liên quan.
3. Hàm demo chạy đơn luồng rỗng, chỉ in ra màn hình.
4. Lãng phí hiệu năng do gọi hàm split("-") liên tục trong vòng lặp.
AI đã hướng dẫn cách cô đọng lại class và chỉ ra lỗi kiến trúc khi để Controller giữ biến của View.</t>
  </si>
  <si>
    <t>HALLUCINATION DETECTION LOG (BẮT BUỘC)</t>
  </si>
  <si>
    <t>MỖI PROJECT PHẢI PHÁT HIỆN ÍT NHẤT: Lab (≥1), Assignment (≥2), Project (≥3) cases hallucination</t>
  </si>
  <si>
    <t>Entry # (from Sheet 2)</t>
  </si>
  <si>
    <t>Hallucination Type</t>
  </si>
  <si>
    <t>AI's Claim</t>
  </si>
  <si>
    <t>Reality Check</t>
  </si>
  <si>
    <t>How Detected</t>
  </si>
  <si>
    <t>Corrective Action</t>
  </si>
  <si>
    <t>Logic &amp; Business Flaw</t>
  </si>
  <si>
    <t>Đề xuất công thức tính lương tổng quát bao gồm cả số ngày đi làm thực tế và khoản khấu trừ ngày nghỉ:
Gross = Base Salary + Overtime + Bonus - Absent Deduction</t>
  </si>
  <si>
    <t>Nếu biến workDays truyền vào vốn đã là số ngày đi làm thực tế (tức là đã không tính tiền những ngày nghỉ rồi), việc cấu hình thêm một khoản trừ Absent Deduction cho các ngày vắng mặt sẽ khiến nhân viên bị khấu trừ trùng lặp tận 2 lần cho cùng một ngày nghỉ.</t>
  </si>
  <si>
    <t>Code &amp; Logic Review:
Tiến hành chạy thử nghiệm bằng tay (Manual Trace) với số liệu giả định cụ thể: Nhân viên lương 26 triệu, tháng có 26 ngày công quy định, đi làm thực tế 25 ngày và nghỉ 1 ngày.
Theo công thức AI, nhân viên chỉ nhận được 24 triệu (bị mất 2 triệu), trong khi thực tế chỉ được phép không tính lương ngày nghỉ đó (nhận đúng 25 triệu).</t>
  </si>
  <si>
    <t>Loại bỏ hoàn toàn thành phần Absent Deduction ra khỏi công thức tính toán trong class xử lý lương.Sửa lại logic tính lương chuẩn xác và tinh gọn hơn: Tính trực tiếp phần lương cơ bản theo ngày công thực tế:BaseSalaryPaid = BaseSalary * workDays / 26và công thức Gross sẽ không còn phần trừ lặp nữa:Gross = BaseSalaryPaid + Overtime + Bonus</t>
  </si>
  <si>
    <t>HALLUCINATION TYPES REFERENCE:</t>
  </si>
  <si>
    <t>Type</t>
  </si>
  <si>
    <t>Definition</t>
  </si>
  <si>
    <t>Example</t>
  </si>
  <si>
    <t>Fabrication</t>
  </si>
  <si>
    <t>AI tạo ra thông tin không tồn tại</t>
  </si>
  <si>
    <t>Fake papers, fake APIs, fake data</t>
  </si>
  <si>
    <t>Oversimplification</t>
  </si>
  <si>
    <t>AI bỏ qua edge cases, exceptions</t>
  </si>
  <si>
    <t>Code không handle array rỗng</t>
  </si>
  <si>
    <t>Logic Error</t>
  </si>
  <si>
    <t>AI đưa kết luận sai về 'best practice'</t>
  </si>
  <si>
    <t>'XGBoost always best' → Sai</t>
  </si>
  <si>
    <t>Outdated Info</t>
  </si>
  <si>
    <t>AI dùng thông tin cũ, không còn đúng</t>
  </si>
  <si>
    <t>Old API syntax, deprecated methods</t>
  </si>
  <si>
    <t>Context Misunderstanding</t>
  </si>
  <si>
    <t>AI không hiểu đúng bối cảnh</t>
  </si>
  <si>
    <t>Không biết business constraints</t>
  </si>
  <si>
    <t>SELF-ASSESSMENT CHECKLIST (Trước khi nộp)</t>
  </si>
  <si>
    <t>Kiểm tra kỹ trước khi nộp. MỖI ENTRY phải pass ≥4/5 tiêu chí dưới đây.</t>
  </si>
  <si>
    <t>A. KIỂM TRA CHẤT LƯỢNG MỖI ENTRY (Pass ≥4/5)</t>
  </si>
  <si>
    <t>#</t>
  </si>
  <si>
    <t>Tiêu chí</t>
  </si>
  <si>
    <t>Pass?</t>
  </si>
  <si>
    <t>Note</t>
  </si>
  <si>
    <t>1</t>
  </si>
  <si>
    <t>Prompt này ảnh hưởng đến quyết định quan trọng trong project?</t>
  </si>
  <si>
    <t>☐</t>
  </si>
  <si>
    <t>2</t>
  </si>
  <si>
    <t>Nếu không có prompt này, project có thay đổi về architecture/design?</t>
  </si>
  <si>
    <t>3</t>
  </si>
  <si>
    <t>Tôi có thể giải thích lý do chọn/không chọn gợi ý của AI?</t>
  </si>
  <si>
    <t>4</t>
  </si>
  <si>
    <t>Có minh chứng cụ thể (code, metrics, comparison)?</t>
  </si>
  <si>
    <t>5</t>
  </si>
  <si>
    <t>Prompt này phản ánh tư duy phản biện, không chỉ copy AI?</t>
  </si>
  <si>
    <t>B. KIỂM TRA TỔNG THỂ LOG</t>
  </si>
  <si>
    <t>Current Value</t>
  </si>
  <si>
    <t>Số lượng entries nằm trong range (min-max)?</t>
  </si>
  <si>
    <t>Mỗi DTC component có ít nhất 1 core prompt?</t>
  </si>
  <si>
    <t>Đã phát hiện ≥ số lượng hallucination yêu cầu?</t>
  </si>
  <si>
    <t>Mỗi entry đều có Human Delta đầy đủ (4 câu hỏi)?</t>
  </si>
  <si>
    <t>Có evidence cho ≥70% entries?</t>
  </si>
  <si>
    <t>⚠️ LƯU Ý QUAN TRỌNG:</t>
  </si>
  <si>
    <t>Nếu entry KHÔNG pass ≥4/5 tiêu chí → LOẠI BỎ, không ghi vào Log</t>
  </si>
  <si>
    <t>Nếu FAIL ≥2 tiêu chí tổng thể → AI Reflection = 0 điểm (mất 30%)</t>
  </si>
  <si>
    <t>C. CHUẨN BỊ CHO ORAL VIVAS (Q&amp;A)</t>
  </si>
  <si>
    <t>Giảng viên sẽ hỏi ngẫu nhiên về 3-5 entries. Tự hỏi bản thân:</t>
  </si>
  <si>
    <t>Tôi có thể giải thích tại sao chọn approach này?</t>
  </si>
  <si>
    <t>Tôi có nhớ AI response?</t>
  </si>
  <si>
    <t>Tôi có evidence?</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</si>
</sst>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176" formatCode="_ * #,##0.00_ ;_ * \-#,##0.00_ ;_ * &quot;-&quot;??_ ;_ @_ "/>
    <numFmt numFmtId="177" formatCode="_-* #,##0.00\ &quot;₫&quot;_-;\-* #,##0.00\ &quot;₫&quot;_-;_-* &quot;-&quot;??\ &quot;₫&quot;_-;_-@_-"/>
    <numFmt numFmtId="178" formatCode="_ * #,##0_ ;_ * \-#,##0_ ;_ * &quot;-&quot;_ ;_ @_ "/>
    <numFmt numFmtId="179" formatCode="_-* #,##0\ &quot;₫&quot;_-;\-* #,##0\ &quot;₫&quot;_-;_-* &quot;-&quot;\ &quot;₫&quot;_-;_-@_-"/>
    <numFmt numFmtId="180" formatCode="0.0%"/>
  </numFmts>
  <fonts count="32">
    <font>
      <sz val="11"/>
      <color theme="1"/>
      <name val="Calibri"/>
      <charset val="134"/>
      <scheme val="minor"/>
    </font>
    <font>
      <b/>
      <sz val="16"/>
      <color rgb="FF2E75B6"/>
      <name val="Calibri"/>
      <charset val="134"/>
      <scheme val="minor"/>
    </font>
    <font>
      <i/>
      <sz val="10"/>
      <color rgb="FF666666"/>
      <name val="Calibri"/>
      <charset val="134"/>
      <scheme val="minor"/>
    </font>
    <font>
      <b/>
      <sz val="14"/>
      <color rgb="FF2E75B6"/>
      <name val="Calibri"/>
      <charset val="134"/>
      <scheme val="minor"/>
    </font>
    <font>
      <b/>
      <sz val="11"/>
      <color rgb="FFFFFFFF"/>
      <name val="Calibri"/>
      <charset val="134"/>
      <scheme val="minor"/>
    </font>
    <font>
      <sz val="10"/>
      <name val="Calibri"/>
      <charset val="134"/>
      <scheme val="minor"/>
    </font>
    <font>
      <b/>
      <sz val="12"/>
      <color rgb="FFFF0000"/>
      <name val="Calibri"/>
      <charset val="134"/>
      <scheme val="minor"/>
    </font>
    <font>
      <sz val="11"/>
      <color rgb="FFFF0000"/>
      <name val="Calibri"/>
      <charset val="134"/>
      <scheme val="minor"/>
    </font>
    <font>
      <i/>
      <sz val="10"/>
      <name val="Calibri"/>
      <charset val="134"/>
      <scheme val="minor"/>
    </font>
    <font>
      <b/>
      <sz val="11"/>
      <name val="Calibri"/>
      <charset val="134"/>
      <scheme val="minor"/>
    </font>
    <font>
      <b/>
      <sz val="16"/>
      <color rgb="FFFF0000"/>
      <name val="Calibri"/>
      <charset val="134"/>
      <scheme val="minor"/>
    </font>
    <font>
      <b/>
      <i/>
      <sz val="10"/>
      <color rgb="FFFF0000"/>
      <name val="Calibri"/>
      <charset val="134"/>
      <scheme val="minor"/>
    </font>
    <font>
      <i/>
      <sz val="9"/>
      <color rgb="FF666666"/>
      <name val="Calibri"/>
      <charset val="134"/>
      <scheme val="minor"/>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s>
  <fills count="36">
    <fill>
      <patternFill patternType="none"/>
    </fill>
    <fill>
      <patternFill patternType="gray125"/>
    </fill>
    <fill>
      <patternFill patternType="solid">
        <fgColor rgb="FF2E75B6"/>
        <bgColor rgb="FF2E75B6"/>
      </patternFill>
    </fill>
    <fill>
      <patternFill patternType="solid">
        <fgColor rgb="FFF2F2F2"/>
        <bgColor rgb="FFF2F2F2"/>
      </patternFill>
    </fill>
    <fill>
      <patternFill patternType="solid">
        <fgColor rgb="FFFFFF00"/>
        <bgColor rgb="FFFFFF00"/>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0">
    <border>
      <left/>
      <right/>
      <top/>
      <bottom/>
      <diagonal/>
    </border>
    <border>
      <left style="thin">
        <color rgb="FFCCCCCC"/>
      </left>
      <right style="thin">
        <color rgb="FFCCCCCC"/>
      </right>
      <top style="thin">
        <color rgb="FFCCCCCC"/>
      </top>
      <bottom style="thin">
        <color rgb="FFCCCCCC"/>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176" fontId="0" fillId="0" borderId="0" applyFont="0" applyFill="0" applyBorder="0" applyAlignment="0" applyProtection="0">
      <alignment vertical="center"/>
    </xf>
    <xf numFmtId="177" fontId="0" fillId="0" borderId="0" applyFont="0" applyFill="0" applyBorder="0" applyAlignment="0" applyProtection="0">
      <alignment vertical="center"/>
    </xf>
    <xf numFmtId="9" fontId="0" fillId="0" borderId="0" applyFont="0" applyFill="0" applyBorder="0" applyAlignment="0" applyProtection="0">
      <alignment vertical="center"/>
    </xf>
    <xf numFmtId="178" fontId="0" fillId="0" borderId="0" applyFont="0" applyFill="0" applyBorder="0" applyAlignment="0" applyProtection="0">
      <alignment vertical="center"/>
    </xf>
    <xf numFmtId="179" fontId="0" fillId="0" borderId="0" applyFont="0" applyFill="0" applyBorder="0" applyAlignment="0" applyProtection="0">
      <alignment vertical="center"/>
    </xf>
    <xf numFmtId="0" fontId="13"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0" fillId="5" borderId="2" applyNumberFormat="0" applyFont="0" applyAlignment="0" applyProtection="0">
      <alignment vertical="center"/>
    </xf>
    <xf numFmtId="0" fontId="15" fillId="0" borderId="0" applyNumberFormat="0" applyFill="0" applyBorder="0" applyAlignment="0" applyProtection="0">
      <alignment vertical="center"/>
    </xf>
    <xf numFmtId="0" fontId="16" fillId="0" borderId="0" applyNumberFormat="0" applyFill="0" applyBorder="0" applyAlignment="0" applyProtection="0">
      <alignment vertical="center"/>
    </xf>
    <xf numFmtId="0" fontId="17" fillId="0" borderId="0" applyNumberFormat="0" applyFill="0" applyBorder="0" applyAlignment="0" applyProtection="0">
      <alignment vertical="center"/>
    </xf>
    <xf numFmtId="0" fontId="18" fillId="0" borderId="3" applyNumberFormat="0" applyFill="0" applyAlignment="0" applyProtection="0">
      <alignment vertical="center"/>
    </xf>
    <xf numFmtId="0" fontId="19" fillId="0" borderId="3" applyNumberFormat="0" applyFill="0" applyAlignment="0" applyProtection="0">
      <alignment vertical="center"/>
    </xf>
    <xf numFmtId="0" fontId="20" fillId="0" borderId="4" applyNumberFormat="0" applyFill="0" applyAlignment="0" applyProtection="0">
      <alignment vertical="center"/>
    </xf>
    <xf numFmtId="0" fontId="20" fillId="0" borderId="0" applyNumberFormat="0" applyFill="0" applyBorder="0" applyAlignment="0" applyProtection="0">
      <alignment vertical="center"/>
    </xf>
    <xf numFmtId="0" fontId="21" fillId="6" borderId="5" applyNumberFormat="0" applyAlignment="0" applyProtection="0">
      <alignment vertical="center"/>
    </xf>
    <xf numFmtId="0" fontId="22" fillId="7" borderId="6" applyNumberFormat="0" applyAlignment="0" applyProtection="0">
      <alignment vertical="center"/>
    </xf>
    <xf numFmtId="0" fontId="23" fillId="7" borderId="5" applyNumberFormat="0" applyAlignment="0" applyProtection="0">
      <alignment vertical="center"/>
    </xf>
    <xf numFmtId="0" fontId="24" fillId="8" borderId="7" applyNumberFormat="0" applyAlignment="0" applyProtection="0">
      <alignment vertical="center"/>
    </xf>
    <xf numFmtId="0" fontId="25" fillId="0" borderId="8" applyNumberFormat="0" applyFill="0" applyAlignment="0" applyProtection="0">
      <alignment vertical="center"/>
    </xf>
    <xf numFmtId="0" fontId="26" fillId="0" borderId="9" applyNumberFormat="0" applyFill="0" applyAlignment="0" applyProtection="0">
      <alignment vertical="center"/>
    </xf>
    <xf numFmtId="0" fontId="27" fillId="9" borderId="0" applyNumberFormat="0" applyBorder="0" applyAlignment="0" applyProtection="0">
      <alignment vertical="center"/>
    </xf>
    <xf numFmtId="0" fontId="28" fillId="10" borderId="0" applyNumberFormat="0" applyBorder="0" applyAlignment="0" applyProtection="0">
      <alignment vertical="center"/>
    </xf>
    <xf numFmtId="0" fontId="29" fillId="11" borderId="0" applyNumberFormat="0" applyBorder="0" applyAlignment="0" applyProtection="0">
      <alignment vertical="center"/>
    </xf>
    <xf numFmtId="0" fontId="30" fillId="12" borderId="0" applyNumberFormat="0" applyBorder="0" applyAlignment="0" applyProtection="0">
      <alignment vertical="center"/>
    </xf>
    <xf numFmtId="0" fontId="31" fillId="13" borderId="0" applyNumberFormat="0" applyBorder="0" applyAlignment="0" applyProtection="0">
      <alignment vertical="center"/>
    </xf>
    <xf numFmtId="0" fontId="31" fillId="14" borderId="0" applyNumberFormat="0" applyBorder="0" applyAlignment="0" applyProtection="0">
      <alignment vertical="center"/>
    </xf>
    <xf numFmtId="0" fontId="30" fillId="15" borderId="0" applyNumberFormat="0" applyBorder="0" applyAlignment="0" applyProtection="0">
      <alignment vertical="center"/>
    </xf>
    <xf numFmtId="0" fontId="30" fillId="16" borderId="0" applyNumberFormat="0" applyBorder="0" applyAlignment="0" applyProtection="0">
      <alignment vertical="center"/>
    </xf>
    <xf numFmtId="0" fontId="31" fillId="17" borderId="0" applyNumberFormat="0" applyBorder="0" applyAlignment="0" applyProtection="0">
      <alignment vertical="center"/>
    </xf>
    <xf numFmtId="0" fontId="31" fillId="18" borderId="0" applyNumberFormat="0" applyBorder="0" applyAlignment="0" applyProtection="0">
      <alignment vertical="center"/>
    </xf>
    <xf numFmtId="0" fontId="30" fillId="19" borderId="0" applyNumberFormat="0" applyBorder="0" applyAlignment="0" applyProtection="0">
      <alignment vertical="center"/>
    </xf>
    <xf numFmtId="0" fontId="30" fillId="20" borderId="0" applyNumberFormat="0" applyBorder="0" applyAlignment="0" applyProtection="0">
      <alignment vertical="center"/>
    </xf>
    <xf numFmtId="0" fontId="31" fillId="21" borderId="0" applyNumberFormat="0" applyBorder="0" applyAlignment="0" applyProtection="0">
      <alignment vertical="center"/>
    </xf>
    <xf numFmtId="0" fontId="31" fillId="22" borderId="0" applyNumberFormat="0" applyBorder="0" applyAlignment="0" applyProtection="0">
      <alignment vertical="center"/>
    </xf>
    <xf numFmtId="0" fontId="30" fillId="23" borderId="0" applyNumberFormat="0" applyBorder="0" applyAlignment="0" applyProtection="0">
      <alignment vertical="center"/>
    </xf>
    <xf numFmtId="0" fontId="30" fillId="24" borderId="0" applyNumberFormat="0" applyBorder="0" applyAlignment="0" applyProtection="0">
      <alignment vertical="center"/>
    </xf>
    <xf numFmtId="0" fontId="31" fillId="25" borderId="0" applyNumberFormat="0" applyBorder="0" applyAlignment="0" applyProtection="0">
      <alignment vertical="center"/>
    </xf>
    <xf numFmtId="0" fontId="31" fillId="26" borderId="0" applyNumberFormat="0" applyBorder="0" applyAlignment="0" applyProtection="0">
      <alignment vertical="center"/>
    </xf>
    <xf numFmtId="0" fontId="30" fillId="27" borderId="0" applyNumberFormat="0" applyBorder="0" applyAlignment="0" applyProtection="0">
      <alignment vertical="center"/>
    </xf>
    <xf numFmtId="0" fontId="30" fillId="28" borderId="0" applyNumberFormat="0" applyBorder="0" applyAlignment="0" applyProtection="0">
      <alignment vertical="center"/>
    </xf>
    <xf numFmtId="0" fontId="31" fillId="29" borderId="0" applyNumberFormat="0" applyBorder="0" applyAlignment="0" applyProtection="0">
      <alignment vertical="center"/>
    </xf>
    <xf numFmtId="0" fontId="31" fillId="30" borderId="0" applyNumberFormat="0" applyBorder="0" applyAlignment="0" applyProtection="0">
      <alignment vertical="center"/>
    </xf>
    <xf numFmtId="0" fontId="30" fillId="31" borderId="0" applyNumberFormat="0" applyBorder="0" applyAlignment="0" applyProtection="0">
      <alignment vertical="center"/>
    </xf>
    <xf numFmtId="0" fontId="30" fillId="32" borderId="0" applyNumberFormat="0" applyBorder="0" applyAlignment="0" applyProtection="0">
      <alignment vertical="center"/>
    </xf>
    <xf numFmtId="0" fontId="31" fillId="33" borderId="0" applyNumberFormat="0" applyBorder="0" applyAlignment="0" applyProtection="0">
      <alignment vertical="center"/>
    </xf>
    <xf numFmtId="0" fontId="31" fillId="34" borderId="0" applyNumberFormat="0" applyBorder="0" applyAlignment="0" applyProtection="0">
      <alignment vertical="center"/>
    </xf>
    <xf numFmtId="0" fontId="30" fillId="35" borderId="0" applyNumberFormat="0" applyBorder="0" applyAlignment="0" applyProtection="0">
      <alignment vertical="center"/>
    </xf>
  </cellStyleXfs>
  <cellXfs count="23">
    <xf numFmtId="0" fontId="0" fillId="0" borderId="0" xfId="0"/>
    <xf numFmtId="0" fontId="1" fillId="0" borderId="0" xfId="0" applyFont="1" applyAlignment="1">
      <alignment horizontal="center" vertical="center" wrapText="1"/>
    </xf>
    <xf numFmtId="0" fontId="2" fillId="0" borderId="0" xfId="0" applyFont="1" applyAlignment="1">
      <alignment horizontal="center" vertical="center" wrapText="1"/>
    </xf>
    <xf numFmtId="0" fontId="3" fillId="0" borderId="0" xfId="0" applyFont="1"/>
    <xf numFmtId="0" fontId="4" fillId="2" borderId="1" xfId="0" applyFont="1" applyFill="1" applyBorder="1" applyAlignment="1">
      <alignment horizontal="center" vertical="center" wrapText="1"/>
    </xf>
    <xf numFmtId="0" fontId="4" fillId="2" borderId="1" xfId="0" applyFont="1" applyFill="1" applyBorder="1" applyAlignment="1">
      <alignment horizontal="left" vertical="top" wrapText="1"/>
    </xf>
    <xf numFmtId="0" fontId="5" fillId="0" borderId="1" xfId="0" applyFont="1" applyBorder="1" applyAlignment="1">
      <alignment horizontal="center" vertical="center" wrapText="1"/>
    </xf>
    <xf numFmtId="0" fontId="5" fillId="0" borderId="1" xfId="0" applyFont="1" applyBorder="1" applyAlignment="1">
      <alignment horizontal="left" vertical="top" wrapText="1"/>
    </xf>
    <xf numFmtId="0" fontId="6" fillId="0" borderId="0" xfId="0" applyFont="1"/>
    <xf numFmtId="0" fontId="7" fillId="0" borderId="0" xfId="0" applyFont="1"/>
    <xf numFmtId="0" fontId="8" fillId="0" borderId="0" xfId="0" applyFont="1"/>
    <xf numFmtId="0" fontId="9" fillId="3" borderId="1" xfId="0" applyFont="1" applyFill="1" applyBorder="1" applyAlignment="1">
      <alignment horizontal="center" vertical="center" wrapText="1"/>
    </xf>
    <xf numFmtId="0" fontId="9" fillId="3" borderId="1" xfId="0" applyFont="1" applyFill="1" applyBorder="1" applyAlignment="1">
      <alignment horizontal="left" vertical="top" wrapText="1"/>
    </xf>
    <xf numFmtId="0" fontId="0" fillId="0" borderId="1" xfId="0" applyBorder="1" applyAlignment="1">
      <alignment horizontal="center" vertical="center" wrapText="1"/>
    </xf>
    <xf numFmtId="0" fontId="0" fillId="0" borderId="1" xfId="0" applyBorder="1" applyAlignment="1">
      <alignment horizontal="left" vertical="top" wrapText="1"/>
    </xf>
    <xf numFmtId="0" fontId="10" fillId="0" borderId="0" xfId="0" applyFont="1" applyAlignment="1">
      <alignment horizontal="center" vertical="center" wrapText="1"/>
    </xf>
    <xf numFmtId="0" fontId="11" fillId="0" borderId="0" xfId="0" applyFont="1" applyAlignment="1">
      <alignment horizontal="center" vertical="center" wrapText="1"/>
    </xf>
    <xf numFmtId="0" fontId="2" fillId="0" borderId="0" xfId="0" applyFont="1" applyAlignment="1">
      <alignment horizontal="left" vertical="top" wrapText="1"/>
    </xf>
    <xf numFmtId="0" fontId="9" fillId="0" borderId="0" xfId="0" applyFont="1"/>
    <xf numFmtId="0" fontId="0" fillId="4" borderId="0" xfId="0" applyFill="1"/>
    <xf numFmtId="180" fontId="0" fillId="0" borderId="0" xfId="0" applyNumberFormat="1"/>
    <xf numFmtId="0" fontId="12" fillId="0" borderId="0" xfId="0" applyFont="1"/>
    <xf numFmtId="0" fontId="0" fillId="4" borderId="1" xfId="0" applyFill="1" applyBorder="1" applyAlignment="1">
      <alignment horizontal="center" vertical="center" wrapText="1"/>
    </xf>
    <xf numFmtId="0" fontId="0" fillId="0" borderId="1" xfId="0" applyBorder="1" applyAlignment="1" quotePrefix="1">
      <alignment horizontal="left" vertical="top" wrapText="1"/>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tableStyles count="0" defaultTableStyle="TableStyleMedium9"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7" Type="http://schemas.openxmlformats.org/officeDocument/2006/relationships/styles" Target="styles.xml"/><Relationship Id="rId6" Type="http://schemas.openxmlformats.org/officeDocument/2006/relationships/sharedStrings" Target="sharedStrings.xml"/><Relationship Id="rId5" Type="http://schemas.openxmlformats.org/officeDocument/2006/relationships/theme" Target="theme/theme1.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7" Type="http://schemas.openxmlformats.org/officeDocument/2006/relationships/image" Target="../media/image7.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editAs="oneCell">
    <xdr:from>
      <xdr:col>7</xdr:col>
      <xdr:colOff>0</xdr:colOff>
      <xdr:row>9</xdr:row>
      <xdr:rowOff>0</xdr:rowOff>
    </xdr:from>
    <xdr:to>
      <xdr:col>8</xdr:col>
      <xdr:colOff>4884</xdr:colOff>
      <xdr:row>10</xdr:row>
      <xdr:rowOff>7815</xdr:rowOff>
    </xdr:to>
    <xdr:pic>
      <xdr:nvPicPr>
        <xdr:cNvPr id="3" name="Hình ảnh 2"/>
        <xdr:cNvPicPr>
          <a:picLocks noChangeAspect="1"/>
        </xdr:cNvPicPr>
      </xdr:nvPicPr>
      <xdr:blipFill>
        <a:blip r:embed="rId1" cstate="print">
          <a:extLst>
            <a:ext uri="{28A0092B-C50C-407E-A947-70E740481C1C}">
              <a14:useLocalDpi xmlns:a14="http://schemas.microsoft.com/office/drawing/2010/main" val="0"/>
            </a:ext>
          </a:extLst>
        </a:blip>
        <a:stretch>
          <a:fillRect/>
        </a:stretch>
      </xdr:blipFill>
      <xdr:spPr>
        <a:xfrm>
          <a:off x="12618720" y="8014335"/>
          <a:ext cx="1376045" cy="1022985"/>
        </a:xfrm>
        <a:prstGeom prst="rect">
          <a:avLst/>
        </a:prstGeom>
      </xdr:spPr>
    </xdr:pic>
    <xdr:clientData/>
  </xdr:twoCellAnchor>
  <xdr:twoCellAnchor editAs="oneCell">
    <xdr:from>
      <xdr:col>7</xdr:col>
      <xdr:colOff>1</xdr:colOff>
      <xdr:row>10</xdr:row>
      <xdr:rowOff>0</xdr:rowOff>
    </xdr:from>
    <xdr:to>
      <xdr:col>8</xdr:col>
      <xdr:colOff>0</xdr:colOff>
      <xdr:row>10</xdr:row>
      <xdr:rowOff>1016046</xdr:rowOff>
    </xdr:to>
    <xdr:pic>
      <xdr:nvPicPr>
        <xdr:cNvPr id="5" name="Hình ảnh 4"/>
        <xdr:cNvPicPr>
          <a:picLocks noChangeAspect="1"/>
        </xdr:cNvPicPr>
      </xdr:nvPicPr>
      <xdr:blipFill>
        <a:blip r:embed="rId2" cstate="print">
          <a:extLst>
            <a:ext uri="{28A0092B-C50C-407E-A947-70E740481C1C}">
              <a14:useLocalDpi xmlns:a14="http://schemas.microsoft.com/office/drawing/2010/main" val="0"/>
            </a:ext>
          </a:extLst>
        </a:blip>
        <a:stretch>
          <a:fillRect/>
        </a:stretch>
      </xdr:blipFill>
      <xdr:spPr>
        <a:xfrm>
          <a:off x="12618720" y="9029700"/>
          <a:ext cx="1371600" cy="1016000"/>
        </a:xfrm>
        <a:prstGeom prst="rect">
          <a:avLst/>
        </a:prstGeom>
      </xdr:spPr>
    </xdr:pic>
    <xdr:clientData/>
  </xdr:twoCellAnchor>
  <xdr:twoCellAnchor editAs="oneCell">
    <xdr:from>
      <xdr:col>7</xdr:col>
      <xdr:colOff>0</xdr:colOff>
      <xdr:row>6</xdr:row>
      <xdr:rowOff>0</xdr:rowOff>
    </xdr:from>
    <xdr:to>
      <xdr:col>8</xdr:col>
      <xdr:colOff>4883</xdr:colOff>
      <xdr:row>7</xdr:row>
      <xdr:rowOff>3371</xdr:rowOff>
    </xdr:to>
    <xdr:pic>
      <xdr:nvPicPr>
        <xdr:cNvPr id="7" name="Hình ảnh 6"/>
        <xdr:cNvPicPr>
          <a:picLocks noChangeAspect="1"/>
        </xdr:cNvPicPr>
      </xdr:nvPicPr>
      <xdr:blipFill>
        <a:blip r:embed="rId3" cstate="print">
          <a:extLst>
            <a:ext uri="{28A0092B-C50C-407E-A947-70E740481C1C}">
              <a14:useLocalDpi xmlns:a14="http://schemas.microsoft.com/office/drawing/2010/main" val="0"/>
            </a:ext>
          </a:extLst>
        </a:blip>
        <a:stretch>
          <a:fillRect/>
        </a:stretch>
      </xdr:blipFill>
      <xdr:spPr>
        <a:xfrm>
          <a:off x="12618720" y="4968240"/>
          <a:ext cx="1376045" cy="1018540"/>
        </a:xfrm>
        <a:prstGeom prst="rect">
          <a:avLst/>
        </a:prstGeom>
      </xdr:spPr>
    </xdr:pic>
    <xdr:clientData/>
  </xdr:twoCellAnchor>
  <xdr:twoCellAnchor editAs="oneCell">
    <xdr:from>
      <xdr:col>7</xdr:col>
      <xdr:colOff>12065</xdr:colOff>
      <xdr:row>3</xdr:row>
      <xdr:rowOff>10160</xdr:rowOff>
    </xdr:from>
    <xdr:to>
      <xdr:col>8</xdr:col>
      <xdr:colOff>8255</xdr:colOff>
      <xdr:row>3</xdr:row>
      <xdr:rowOff>1261110</xdr:rowOff>
    </xdr:to>
    <xdr:pic>
      <xdr:nvPicPr>
        <xdr:cNvPr id="2" name="Picture 1" descr="Screenshot 2026-07-21 230938"/>
        <xdr:cNvPicPr>
          <a:picLocks noChangeAspect="1"/>
        </xdr:cNvPicPr>
      </xdr:nvPicPr>
      <xdr:blipFill>
        <a:blip r:embed="rId4"/>
        <a:stretch>
          <a:fillRect/>
        </a:stretch>
      </xdr:blipFill>
      <xdr:spPr>
        <a:xfrm>
          <a:off x="12630785" y="1166495"/>
          <a:ext cx="1367790" cy="1250950"/>
        </a:xfrm>
        <a:prstGeom prst="rect">
          <a:avLst/>
        </a:prstGeom>
      </xdr:spPr>
    </xdr:pic>
    <xdr:clientData/>
  </xdr:twoCellAnchor>
  <xdr:twoCellAnchor editAs="oneCell">
    <xdr:from>
      <xdr:col>7</xdr:col>
      <xdr:colOff>6985</xdr:colOff>
      <xdr:row>3</xdr:row>
      <xdr:rowOff>1229360</xdr:rowOff>
    </xdr:from>
    <xdr:to>
      <xdr:col>8</xdr:col>
      <xdr:colOff>3175</xdr:colOff>
      <xdr:row>5</xdr:row>
      <xdr:rowOff>18415</xdr:rowOff>
    </xdr:to>
    <xdr:pic>
      <xdr:nvPicPr>
        <xdr:cNvPr id="4" name="Picture 3" descr="Screenshot 2026-07-21 231331"/>
        <xdr:cNvPicPr>
          <a:picLocks noChangeAspect="1"/>
        </xdr:cNvPicPr>
      </xdr:nvPicPr>
      <xdr:blipFill>
        <a:blip r:embed="rId5"/>
        <a:stretch>
          <a:fillRect/>
        </a:stretch>
      </xdr:blipFill>
      <xdr:spPr>
        <a:xfrm>
          <a:off x="12625705" y="2385695"/>
          <a:ext cx="1367790" cy="1330325"/>
        </a:xfrm>
        <a:prstGeom prst="rect">
          <a:avLst/>
        </a:prstGeom>
      </xdr:spPr>
    </xdr:pic>
    <xdr:clientData/>
  </xdr:twoCellAnchor>
  <xdr:twoCellAnchor editAs="oneCell">
    <xdr:from>
      <xdr:col>7</xdr:col>
      <xdr:colOff>12700</xdr:colOff>
      <xdr:row>4</xdr:row>
      <xdr:rowOff>1267460</xdr:rowOff>
    </xdr:from>
    <xdr:to>
      <xdr:col>8</xdr:col>
      <xdr:colOff>49530</xdr:colOff>
      <xdr:row>5</xdr:row>
      <xdr:rowOff>1263650</xdr:rowOff>
    </xdr:to>
    <xdr:pic>
      <xdr:nvPicPr>
        <xdr:cNvPr id="6" name="Picture 5" descr="Screenshot 2026-07-21 231814"/>
        <xdr:cNvPicPr>
          <a:picLocks noChangeAspect="1"/>
        </xdr:cNvPicPr>
      </xdr:nvPicPr>
      <xdr:blipFill>
        <a:blip r:embed="rId6"/>
        <a:stretch>
          <a:fillRect/>
        </a:stretch>
      </xdr:blipFill>
      <xdr:spPr>
        <a:xfrm>
          <a:off x="12631420" y="3694430"/>
          <a:ext cx="1408430" cy="1266825"/>
        </a:xfrm>
        <a:prstGeom prst="rect">
          <a:avLst/>
        </a:prstGeom>
      </xdr:spPr>
    </xdr:pic>
    <xdr:clientData/>
  </xdr:twoCellAnchor>
  <xdr:twoCellAnchor editAs="oneCell">
    <xdr:from>
      <xdr:col>7</xdr:col>
      <xdr:colOff>12065</xdr:colOff>
      <xdr:row>7</xdr:row>
      <xdr:rowOff>7620</xdr:rowOff>
    </xdr:from>
    <xdr:to>
      <xdr:col>8</xdr:col>
      <xdr:colOff>10795</xdr:colOff>
      <xdr:row>7</xdr:row>
      <xdr:rowOff>1011555</xdr:rowOff>
    </xdr:to>
    <xdr:pic>
      <xdr:nvPicPr>
        <xdr:cNvPr id="8" name="Picture 7"/>
        <xdr:cNvPicPr>
          <a:picLocks noChangeAspect="1"/>
        </xdr:cNvPicPr>
      </xdr:nvPicPr>
      <xdr:blipFill>
        <a:blip r:embed="rId7"/>
        <a:stretch>
          <a:fillRect/>
        </a:stretch>
      </xdr:blipFill>
      <xdr:spPr>
        <a:xfrm>
          <a:off x="12630785" y="5991225"/>
          <a:ext cx="1370330" cy="1003935"/>
        </a:xfrm>
        <a:prstGeom prst="rect">
          <a:avLst/>
        </a:prstGeom>
        <a:noFill/>
        <a:ln w="9525">
          <a:noFill/>
        </a:ln>
      </xdr:spPr>
    </xdr:pic>
    <xdr:clientData/>
  </xdr:twoCellAnchor>
  <xdr:twoCellAnchor editAs="oneCell">
    <xdr:from>
      <xdr:col>7</xdr:col>
      <xdr:colOff>13335</xdr:colOff>
      <xdr:row>7</xdr:row>
      <xdr:rowOff>954405</xdr:rowOff>
    </xdr:from>
    <xdr:to>
      <xdr:col>7</xdr:col>
      <xdr:colOff>1365885</xdr:colOff>
      <xdr:row>9</xdr:row>
      <xdr:rowOff>119380</xdr:rowOff>
    </xdr:to>
    <xdr:pic>
      <xdr:nvPicPr>
        <xdr:cNvPr id="9" name="Picture 8"/>
        <xdr:cNvPicPr>
          <a:picLocks noChangeAspect="1"/>
        </xdr:cNvPicPr>
      </xdr:nvPicPr>
      <xdr:blipFill>
        <a:blip r:embed="rId8"/>
        <a:stretch>
          <a:fillRect/>
        </a:stretch>
      </xdr:blipFill>
      <xdr:spPr>
        <a:xfrm>
          <a:off x="12632055" y="6938010"/>
          <a:ext cx="1352550" cy="1195705"/>
        </a:xfrm>
        <a:prstGeom prst="rect">
          <a:avLst/>
        </a:prstGeom>
        <a:noFill/>
        <a:ln w="9525">
          <a:noFill/>
        </a:ln>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27"/>
  <sheetViews>
    <sheetView workbookViewId="0">
      <selection activeCell="C12" sqref="C12"/>
    </sheetView>
  </sheetViews>
  <sheetFormatPr defaultColWidth="9" defaultRowHeight="14.4" outlineLevelCol="5"/>
  <cols>
    <col min="1" max="1" width="25" customWidth="1"/>
    <col min="2" max="2" width="40" customWidth="1"/>
    <col min="3" max="3" width="15" customWidth="1"/>
    <col min="4" max="4" width="30" customWidth="1"/>
    <col min="5" max="6" width="20" customWidth="1"/>
  </cols>
  <sheetData>
    <row r="1" ht="21" spans="1:5">
      <c r="A1" s="1" t="s">
        <v>0</v>
      </c>
    </row>
    <row r="3" ht="18" spans="1:5">
      <c r="A3" s="3" t="s">
        <v>1</v>
      </c>
    </row>
    <row r="4" spans="1:5">
      <c r="A4" s="18" t="s">
        <v>2</v>
      </c>
      <c r="C4" t="s">
        <v>3</v>
      </c>
    </row>
    <row r="5" spans="1:5">
      <c r="A5" s="18" t="s">
        <v>4</v>
      </c>
      <c r="C5" t="s">
        <v>5</v>
      </c>
    </row>
    <row r="6" spans="1:5">
      <c r="A6" s="18" t="s">
        <v>6</v>
      </c>
      <c r="C6" t="s">
        <v>7</v>
      </c>
    </row>
    <row r="7" spans="1:5">
      <c r="A7" s="18" t="s">
        <v>8</v>
      </c>
      <c r="C7" t="s">
        <v>9</v>
      </c>
    </row>
    <row r="9" ht="18" spans="1:5">
      <c r="A9" s="3" t="s">
        <v>10</v>
      </c>
    </row>
    <row r="10" spans="1:5">
      <c r="A10" s="18" t="s">
        <v>11</v>
      </c>
      <c r="C10" t="s">
        <v>12</v>
      </c>
    </row>
    <row r="11" spans="1:5">
      <c r="A11" s="18" t="s">
        <v>13</v>
      </c>
      <c r="C11" s="19" t="s">
        <v>14</v>
      </c>
    </row>
    <row r="12" spans="1:5">
      <c r="A12" s="18" t="s">
        <v>15</v>
      </c>
      <c r="C12" s="20" t="e">
        <f>C11/C10</f>
        <v>#VALUE!</v>
      </c>
      <c r="E12" s="21" t="s">
        <v>16</v>
      </c>
    </row>
    <row r="13" spans="1:5">
      <c r="A13" s="18" t="s">
        <v>17</v>
      </c>
      <c r="C13" s="19" t="s">
        <v>18</v>
      </c>
    </row>
    <row r="15" ht="18" spans="1:5">
      <c r="A15" s="3" t="s">
        <v>19</v>
      </c>
    </row>
    <row r="16" spans="1:5">
      <c r="A16" s="4" t="s">
        <v>20</v>
      </c>
      <c r="B16" s="4" t="s">
        <v>21</v>
      </c>
      <c r="C16" s="4" t="s">
        <v>22</v>
      </c>
      <c r="D16" s="4" t="s">
        <v>23</v>
      </c>
    </row>
    <row r="17" spans="1:4">
      <c r="A17" s="14" t="s">
        <v>24</v>
      </c>
      <c r="B17" s="14" t="s">
        <v>25</v>
      </c>
      <c r="C17" s="14" t="s">
        <v>26</v>
      </c>
      <c r="D17" s="14" t="s">
        <v>27</v>
      </c>
    </row>
    <row r="18" spans="1:4">
      <c r="A18" s="14" t="s">
        <v>28</v>
      </c>
      <c r="B18" s="14" t="s">
        <v>29</v>
      </c>
      <c r="C18" s="14" t="s">
        <v>30</v>
      </c>
      <c r="D18" s="14" t="s">
        <v>31</v>
      </c>
    </row>
    <row r="19" spans="1:4">
      <c r="A19" s="14" t="s">
        <v>32</v>
      </c>
      <c r="B19" s="14" t="s">
        <v>33</v>
      </c>
      <c r="C19" s="14" t="s">
        <v>26</v>
      </c>
      <c r="D19" s="14" t="s">
        <v>34</v>
      </c>
    </row>
    <row r="20" spans="1:4">
      <c r="A20" s="14" t="s">
        <v>35</v>
      </c>
      <c r="B20" s="14" t="s">
        <v>36</v>
      </c>
      <c r="C20" s="14" t="s">
        <v>36</v>
      </c>
      <c r="D20" s="14" t="s">
        <v>36</v>
      </c>
    </row>
    <row r="22" ht="18" spans="1:4">
      <c r="A22" s="3" t="s">
        <v>37</v>
      </c>
    </row>
    <row r="23" spans="1:4">
      <c r="A23" s="4" t="s">
        <v>38</v>
      </c>
      <c r="B23" s="4" t="s">
        <v>39</v>
      </c>
      <c r="C23" s="4" t="s">
        <v>40</v>
      </c>
    </row>
    <row r="24" spans="1:4">
      <c r="A24" s="14" t="s">
        <v>41</v>
      </c>
      <c r="B24" s="22">
        <v>0</v>
      </c>
      <c r="C24" s="13" t="s">
        <v>42</v>
      </c>
    </row>
    <row r="25" spans="1:4">
      <c r="A25" s="14" t="s">
        <v>43</v>
      </c>
      <c r="B25" s="22">
        <v>0</v>
      </c>
      <c r="C25" s="13" t="s">
        <v>42</v>
      </c>
    </row>
    <row r="26" spans="1:4">
      <c r="A26" s="14" t="s">
        <v>44</v>
      </c>
      <c r="B26" s="22">
        <v>0</v>
      </c>
      <c r="C26" s="13" t="s">
        <v>42</v>
      </c>
    </row>
    <row r="27" spans="1:4">
      <c r="A27" s="14" t="s">
        <v>45</v>
      </c>
      <c r="B27" s="22">
        <v>0</v>
      </c>
      <c r="C27" s="13" t="s">
        <v>42</v>
      </c>
    </row>
  </sheetData>
  <mergeCells count="1">
    <mergeCell ref="A1:F1"/>
  </mergeCells>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26"/>
  <sheetViews>
    <sheetView tabSelected="1" zoomScale="51" zoomScaleNormal="51" workbookViewId="0">
      <selection activeCell="K6" sqref="K6"/>
    </sheetView>
  </sheetViews>
  <sheetFormatPr defaultColWidth="9" defaultRowHeight="14.4" outlineLevelCol="7"/>
  <cols>
    <col min="1" max="1" width="8" customWidth="1"/>
    <col min="2" max="3" width="18" customWidth="1"/>
    <col min="4" max="4" width="25" customWidth="1"/>
    <col min="5" max="5" width="30" customWidth="1"/>
    <col min="6" max="6" width="35" customWidth="1"/>
    <col min="7" max="7" width="50" customWidth="1"/>
    <col min="8" max="8" width="20" customWidth="1"/>
  </cols>
  <sheetData>
    <row r="1" ht="21" spans="1:8">
      <c r="A1" s="1" t="s">
        <v>46</v>
      </c>
    </row>
    <row r="2" ht="30" customHeight="1" spans="1:8">
      <c r="A2" s="17" t="s">
        <v>47</v>
      </c>
    </row>
    <row r="3" ht="40.05" customHeight="1" spans="1:8">
      <c r="A3" s="4" t="s">
        <v>48</v>
      </c>
      <c r="B3" s="4" t="s">
        <v>49</v>
      </c>
      <c r="C3" s="4" t="s">
        <v>50</v>
      </c>
      <c r="D3" s="4" t="s">
        <v>51</v>
      </c>
      <c r="E3" s="4" t="s">
        <v>52</v>
      </c>
      <c r="F3" s="4" t="s">
        <v>53</v>
      </c>
      <c r="G3" s="4" t="s">
        <v>54</v>
      </c>
      <c r="H3" s="4" t="s">
        <v>55</v>
      </c>
    </row>
    <row r="4" ht="100.05" customHeight="1" spans="1:8">
      <c r="A4" s="23" t="s">
        <v>56</v>
      </c>
      <c r="B4" s="14" t="s">
        <v>57</v>
      </c>
      <c r="C4" s="14" t="s">
        <v>58</v>
      </c>
      <c r="D4" s="14" t="s">
        <v>59</v>
      </c>
      <c r="E4" s="14" t="s">
        <v>60</v>
      </c>
      <c r="F4" s="14" t="s">
        <v>61</v>
      </c>
      <c r="G4" s="14" t="s">
        <v>62</v>
      </c>
      <c r="H4" s="14"/>
    </row>
    <row r="5" ht="100.05" customHeight="1" spans="1:8">
      <c r="A5" s="23" t="s">
        <v>63</v>
      </c>
      <c r="B5" s="14" t="s">
        <v>64</v>
      </c>
      <c r="C5" s="14" t="s">
        <v>65</v>
      </c>
      <c r="D5" s="14" t="s">
        <v>66</v>
      </c>
      <c r="E5" s="14" t="s">
        <v>67</v>
      </c>
      <c r="F5" s="14" t="s">
        <v>68</v>
      </c>
      <c r="G5" s="14" t="s">
        <v>69</v>
      </c>
      <c r="H5" s="14"/>
    </row>
    <row r="6" ht="100.05" customHeight="1" spans="1:8">
      <c r="A6" s="23" t="s">
        <v>70</v>
      </c>
      <c r="B6" s="14" t="s">
        <v>71</v>
      </c>
      <c r="C6" s="14" t="s">
        <v>72</v>
      </c>
      <c r="D6" s="14" t="s">
        <v>73</v>
      </c>
      <c r="E6" s="14" t="s">
        <v>74</v>
      </c>
      <c r="F6" s="14" t="s">
        <v>75</v>
      </c>
      <c r="G6" s="14" t="s">
        <v>76</v>
      </c>
      <c r="H6" s="14"/>
    </row>
    <row r="7" ht="79.95" customHeight="1" spans="1:8">
      <c r="A7" s="23" t="s">
        <v>77</v>
      </c>
      <c r="B7" s="14" t="s">
        <v>78</v>
      </c>
      <c r="C7" s="14" t="s">
        <v>79</v>
      </c>
      <c r="D7" s="14" t="s">
        <v>80</v>
      </c>
      <c r="E7" s="14" t="s">
        <v>81</v>
      </c>
      <c r="F7" s="14" t="s">
        <v>82</v>
      </c>
      <c r="G7" s="14" t="s">
        <v>83</v>
      </c>
      <c r="H7" s="14"/>
    </row>
    <row r="8" ht="79.95" customHeight="1" spans="1:8">
      <c r="A8" s="23" t="s">
        <v>84</v>
      </c>
      <c r="B8" s="14" t="s">
        <v>85</v>
      </c>
      <c r="C8" s="14" t="s">
        <v>65</v>
      </c>
      <c r="D8" s="14" t="s">
        <v>86</v>
      </c>
      <c r="E8" s="14" t="s">
        <v>87</v>
      </c>
      <c r="F8" s="14" t="s">
        <v>88</v>
      </c>
      <c r="G8" s="14" t="s">
        <v>89</v>
      </c>
      <c r="H8" s="14"/>
    </row>
    <row r="9" ht="79.95" customHeight="1" spans="1:8">
      <c r="A9" s="23" t="s">
        <v>90</v>
      </c>
      <c r="B9" s="14" t="s">
        <v>91</v>
      </c>
      <c r="C9" s="14" t="s">
        <v>92</v>
      </c>
      <c r="D9" s="14" t="s">
        <v>93</v>
      </c>
      <c r="E9" s="14" t="s">
        <v>94</v>
      </c>
      <c r="F9" s="14" t="s">
        <v>95</v>
      </c>
      <c r="G9" s="14" t="s">
        <v>96</v>
      </c>
      <c r="H9" s="14"/>
    </row>
    <row r="10" ht="79.95" customHeight="1" spans="1:8">
      <c r="A10" s="23" t="s">
        <v>97</v>
      </c>
      <c r="B10" s="14" t="s">
        <v>98</v>
      </c>
      <c r="C10" s="14" t="s">
        <v>99</v>
      </c>
      <c r="D10" s="14" t="s">
        <v>100</v>
      </c>
      <c r="E10" s="14" t="s">
        <v>101</v>
      </c>
      <c r="F10" s="14" t="s">
        <v>102</v>
      </c>
      <c r="G10" s="14" t="s">
        <v>103</v>
      </c>
      <c r="H10" s="14"/>
    </row>
    <row r="11" ht="79.95" customHeight="1" spans="1:8">
      <c r="A11" s="23" t="s">
        <v>104</v>
      </c>
      <c r="B11" s="14" t="s">
        <v>105</v>
      </c>
      <c r="C11" s="14" t="s">
        <v>106</v>
      </c>
      <c r="D11" s="14" t="s">
        <v>107</v>
      </c>
      <c r="E11" s="14" t="s">
        <v>108</v>
      </c>
      <c r="F11" s="14" t="s">
        <v>109</v>
      </c>
      <c r="G11" s="14" t="s">
        <v>110</v>
      </c>
      <c r="H11" s="14"/>
    </row>
    <row r="12" ht="79.95" customHeight="1" spans="1:8">
      <c r="A12" s="14"/>
      <c r="B12" s="14"/>
      <c r="C12" s="14"/>
      <c r="D12" s="14"/>
      <c r="E12" s="14"/>
      <c r="F12" s="14"/>
      <c r="G12" s="14"/>
      <c r="H12" s="14"/>
    </row>
    <row r="13" ht="79.95" customHeight="1" spans="1:8">
      <c r="A13" s="14"/>
      <c r="B13" s="14"/>
      <c r="C13" s="14"/>
      <c r="D13" s="14"/>
      <c r="E13" s="14"/>
      <c r="F13" s="14"/>
      <c r="G13" s="14"/>
      <c r="H13" s="14"/>
    </row>
    <row r="14" ht="79.95" customHeight="1" spans="1:8">
      <c r="A14" s="14"/>
      <c r="B14" s="14"/>
      <c r="C14" s="14"/>
      <c r="D14" s="14"/>
      <c r="E14" s="14"/>
      <c r="F14" s="14"/>
      <c r="G14" s="14"/>
      <c r="H14" s="14"/>
    </row>
    <row r="15" ht="79.95" customHeight="1" spans="1:8">
      <c r="A15" s="14"/>
      <c r="B15" s="14"/>
      <c r="C15" s="14"/>
      <c r="D15" s="14"/>
      <c r="E15" s="14"/>
      <c r="F15" s="14"/>
      <c r="G15" s="14"/>
      <c r="H15" s="14"/>
    </row>
    <row r="16" ht="79.95" customHeight="1" spans="1:8">
      <c r="A16" s="14"/>
      <c r="B16" s="14"/>
      <c r="C16" s="14"/>
      <c r="D16" s="14"/>
      <c r="E16" s="14"/>
      <c r="F16" s="14"/>
      <c r="G16" s="14"/>
      <c r="H16" s="14"/>
    </row>
    <row r="17" ht="79.95" customHeight="1" spans="1:8">
      <c r="A17" s="14"/>
      <c r="B17" s="14"/>
      <c r="C17" s="14"/>
      <c r="D17" s="14"/>
      <c r="E17" s="14"/>
      <c r="F17" s="14"/>
      <c r="G17" s="14"/>
      <c r="H17" s="14"/>
    </row>
    <row r="18" ht="79.95" customHeight="1" spans="1:8">
      <c r="A18" s="14"/>
      <c r="B18" s="14"/>
      <c r="C18" s="14"/>
      <c r="D18" s="14"/>
      <c r="E18" s="14"/>
      <c r="F18" s="14"/>
      <c r="G18" s="14"/>
      <c r="H18" s="14"/>
    </row>
    <row r="19" ht="79.95" customHeight="1" spans="1:8">
      <c r="A19" s="14"/>
      <c r="B19" s="14"/>
      <c r="C19" s="14"/>
      <c r="D19" s="14"/>
      <c r="E19" s="14"/>
      <c r="F19" s="14"/>
      <c r="G19" s="14"/>
      <c r="H19" s="14"/>
    </row>
    <row r="20" ht="79.95" customHeight="1" spans="1:8">
      <c r="A20" s="14"/>
      <c r="B20" s="14"/>
      <c r="C20" s="14"/>
      <c r="D20" s="14"/>
      <c r="E20" s="14"/>
      <c r="F20" s="14"/>
      <c r="G20" s="14"/>
      <c r="H20" s="14"/>
    </row>
    <row r="21" ht="79.95" customHeight="1" spans="1:8">
      <c r="A21" s="14"/>
      <c r="B21" s="14"/>
      <c r="C21" s="14"/>
      <c r="D21" s="14"/>
      <c r="E21" s="14"/>
      <c r="F21" s="14"/>
      <c r="G21" s="14"/>
      <c r="H21" s="14"/>
    </row>
    <row r="22" ht="79.95" customHeight="1" spans="1:8">
      <c r="A22" s="14"/>
      <c r="B22" s="14"/>
      <c r="C22" s="14"/>
      <c r="D22" s="14"/>
      <c r="E22" s="14"/>
      <c r="F22" s="14"/>
      <c r="G22" s="14"/>
      <c r="H22" s="14"/>
    </row>
    <row r="23" ht="79.95" customHeight="1" spans="1:8">
      <c r="A23" s="14"/>
      <c r="B23" s="14"/>
      <c r="C23" s="14"/>
      <c r="D23" s="14"/>
      <c r="E23" s="14"/>
      <c r="F23" s="14"/>
      <c r="G23" s="14"/>
      <c r="H23" s="14"/>
    </row>
    <row r="24" ht="79.95" customHeight="1"/>
    <row r="25" ht="79.95" customHeight="1"/>
    <row r="26" ht="79.95" customHeight="1"/>
  </sheetData>
  <mergeCells count="2">
    <mergeCell ref="A1:H1"/>
    <mergeCell ref="A2:H2"/>
  </mergeCells>
  <pageMargins left="0.75" right="0.75" top="1" bottom="1" header="0.5" footer="0.5"/>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36"/>
  <sheetViews>
    <sheetView workbookViewId="0">
      <selection activeCell="B4" sqref="B4"/>
    </sheetView>
  </sheetViews>
  <sheetFormatPr defaultColWidth="9" defaultRowHeight="14.4" outlineLevelCol="5"/>
  <cols>
    <col min="1" max="1" width="12" customWidth="1"/>
    <col min="2" max="2" width="22" customWidth="1"/>
    <col min="3" max="6" width="30" customWidth="1"/>
  </cols>
  <sheetData>
    <row r="1" ht="21" spans="1:6">
      <c r="A1" s="15" t="s">
        <v>111</v>
      </c>
    </row>
    <row r="2" spans="1:6">
      <c r="A2" s="16" t="s">
        <v>112</v>
      </c>
    </row>
    <row r="3" ht="40.05" customHeight="1" spans="1:6">
      <c r="A3" s="4" t="s">
        <v>113</v>
      </c>
      <c r="B3" s="4" t="s">
        <v>114</v>
      </c>
      <c r="C3" s="4" t="s">
        <v>115</v>
      </c>
      <c r="D3" s="4" t="s">
        <v>116</v>
      </c>
      <c r="E3" s="4" t="s">
        <v>117</v>
      </c>
      <c r="F3" s="4" t="s">
        <v>118</v>
      </c>
    </row>
    <row r="4" ht="223.2" customHeight="1" spans="1:6">
      <c r="A4" s="23" t="s">
        <v>77</v>
      </c>
      <c r="B4" s="14" t="s">
        <v>119</v>
      </c>
      <c r="C4" s="14" t="s">
        <v>120</v>
      </c>
      <c r="D4" s="14" t="s">
        <v>121</v>
      </c>
      <c r="E4" s="14" t="s">
        <v>122</v>
      </c>
      <c r="F4" s="14" t="s">
        <v>123</v>
      </c>
    </row>
    <row r="5" ht="115.8" customHeight="1" spans="1:6">
      <c r="A5" s="14"/>
      <c r="B5" s="14" t="s">
        <v>36</v>
      </c>
      <c r="C5" s="14" t="s">
        <v>36</v>
      </c>
      <c r="D5" s="14" t="s">
        <v>36</v>
      </c>
      <c r="E5" s="14" t="s">
        <v>36</v>
      </c>
      <c r="F5" s="14" t="s">
        <v>36</v>
      </c>
    </row>
    <row r="6" ht="60" customHeight="1" spans="1:6">
      <c r="A6" s="14"/>
      <c r="B6" s="14"/>
      <c r="C6" s="14"/>
      <c r="D6" s="14"/>
      <c r="E6" s="14"/>
      <c r="F6" s="14"/>
    </row>
    <row r="7" ht="60" customHeight="1" spans="1:6">
      <c r="A7" s="14"/>
      <c r="B7" s="14"/>
      <c r="C7" s="14"/>
      <c r="D7" s="14"/>
      <c r="E7" s="14"/>
      <c r="F7" s="14"/>
    </row>
    <row r="8" ht="60" customHeight="1" spans="1:6">
      <c r="A8" s="14"/>
      <c r="B8" s="14"/>
      <c r="C8" s="14"/>
      <c r="D8" s="14"/>
      <c r="E8" s="14"/>
      <c r="F8" s="14"/>
    </row>
    <row r="9" ht="60" customHeight="1" spans="1:6">
      <c r="A9" s="14"/>
      <c r="B9" s="14"/>
      <c r="C9" s="14"/>
      <c r="D9" s="14"/>
      <c r="E9" s="14"/>
      <c r="F9" s="14"/>
    </row>
    <row r="10" ht="60" customHeight="1" spans="1:6">
      <c r="A10" s="14"/>
      <c r="B10" s="14"/>
      <c r="C10" s="14"/>
      <c r="D10" s="14"/>
      <c r="E10" s="14"/>
      <c r="F10" s="14"/>
    </row>
    <row r="11" ht="60" customHeight="1" spans="1:6">
      <c r="A11" s="14"/>
      <c r="B11" s="14"/>
      <c r="C11" s="14"/>
      <c r="D11" s="14"/>
      <c r="E11" s="14"/>
      <c r="F11" s="14"/>
    </row>
    <row r="12" ht="60" customHeight="1" spans="1:6">
      <c r="A12" s="14"/>
      <c r="B12" s="14"/>
      <c r="C12" s="14"/>
      <c r="D12" s="14"/>
      <c r="E12" s="14"/>
      <c r="F12" s="14"/>
    </row>
    <row r="13" ht="60" customHeight="1" spans="1:6">
      <c r="A13" s="14"/>
      <c r="B13" s="14"/>
      <c r="C13" s="14"/>
      <c r="D13" s="14"/>
      <c r="E13" s="14"/>
      <c r="F13" s="14"/>
    </row>
    <row r="14" ht="60" customHeight="1" spans="1:6">
      <c r="A14" s="14"/>
      <c r="B14" s="14"/>
      <c r="C14" s="14"/>
      <c r="D14" s="14"/>
      <c r="E14" s="14"/>
      <c r="F14" s="14"/>
    </row>
    <row r="15" ht="60" customHeight="1" spans="1:6">
      <c r="A15" s="14"/>
      <c r="B15" s="14"/>
      <c r="C15" s="14"/>
      <c r="D15" s="14"/>
      <c r="E15" s="14"/>
      <c r="F15" s="14"/>
    </row>
    <row r="16" ht="60" customHeight="1" spans="1:6">
      <c r="A16" s="14"/>
      <c r="B16" s="14"/>
      <c r="C16" s="14"/>
      <c r="D16" s="14"/>
      <c r="E16" s="14"/>
      <c r="F16" s="14"/>
    </row>
    <row r="17" ht="60" customHeight="1" spans="1:6">
      <c r="A17" s="14"/>
      <c r="B17" s="14"/>
      <c r="C17" s="14"/>
      <c r="D17" s="14"/>
      <c r="E17" s="14"/>
      <c r="F17" s="14"/>
    </row>
    <row r="18" ht="60" customHeight="1" spans="1:6">
      <c r="A18" s="14"/>
      <c r="B18" s="14"/>
      <c r="C18" s="14"/>
      <c r="D18" s="14"/>
      <c r="E18" s="14"/>
      <c r="F18" s="14"/>
    </row>
    <row r="19" ht="60" customHeight="1" spans="1:6">
      <c r="A19" s="14"/>
      <c r="B19" s="14"/>
      <c r="C19" s="14"/>
      <c r="D19" s="14"/>
      <c r="E19" s="14"/>
      <c r="F19" s="14"/>
    </row>
    <row r="20" ht="60" customHeight="1" spans="1:6">
      <c r="A20" s="14"/>
      <c r="B20" s="14"/>
      <c r="C20" s="14"/>
      <c r="D20" s="14"/>
      <c r="E20" s="14"/>
      <c r="F20" s="14"/>
    </row>
    <row r="21" ht="60" customHeight="1" spans="1:6">
      <c r="A21" s="14"/>
      <c r="B21" s="14"/>
      <c r="C21" s="14"/>
      <c r="D21" s="14"/>
      <c r="E21" s="14"/>
      <c r="F21" s="14"/>
    </row>
    <row r="22" ht="60" customHeight="1" spans="1:6">
      <c r="A22" s="14"/>
      <c r="B22" s="14"/>
      <c r="C22" s="14"/>
      <c r="D22" s="14"/>
      <c r="E22" s="14"/>
      <c r="F22" s="14"/>
    </row>
    <row r="23" ht="60" customHeight="1" spans="1:6">
      <c r="A23" s="14"/>
      <c r="B23" s="14"/>
      <c r="C23" s="14"/>
      <c r="D23" s="14"/>
      <c r="E23" s="14"/>
      <c r="F23" s="14"/>
    </row>
    <row r="24" ht="60" customHeight="1" spans="1:6">
      <c r="A24" s="14"/>
      <c r="B24" s="14"/>
      <c r="C24" s="14"/>
      <c r="D24" s="14"/>
      <c r="E24" s="14"/>
      <c r="F24" s="14"/>
    </row>
    <row r="30" ht="18" spans="1:6">
      <c r="A30" s="3" t="s">
        <v>124</v>
      </c>
    </row>
    <row r="31" spans="1:6">
      <c r="A31" s="12" t="s">
        <v>125</v>
      </c>
      <c r="B31" s="12" t="s">
        <v>126</v>
      </c>
      <c r="C31" s="12" t="s">
        <v>127</v>
      </c>
    </row>
    <row r="32" ht="28.8" spans="1:6">
      <c r="A32" s="14" t="s">
        <v>128</v>
      </c>
      <c r="B32" s="14" t="s">
        <v>129</v>
      </c>
      <c r="C32" s="14" t="s">
        <v>130</v>
      </c>
    </row>
    <row r="33" ht="28.8" spans="1:3">
      <c r="A33" s="14" t="s">
        <v>131</v>
      </c>
      <c r="B33" s="14" t="s">
        <v>132</v>
      </c>
      <c r="C33" s="14" t="s">
        <v>133</v>
      </c>
    </row>
    <row r="34" ht="28.8" spans="1:3">
      <c r="A34" s="14" t="s">
        <v>134</v>
      </c>
      <c r="B34" s="14" t="s">
        <v>135</v>
      </c>
      <c r="C34" s="14" t="s">
        <v>136</v>
      </c>
    </row>
    <row r="35" ht="28.8" spans="1:3">
      <c r="A35" s="14" t="s">
        <v>137</v>
      </c>
      <c r="B35" s="14" t="s">
        <v>138</v>
      </c>
      <c r="C35" s="14" t="s">
        <v>139</v>
      </c>
    </row>
    <row r="36" ht="43.2" spans="1:3">
      <c r="A36" s="14" t="s">
        <v>140</v>
      </c>
      <c r="B36" s="14" t="s">
        <v>141</v>
      </c>
      <c r="C36" s="14" t="s">
        <v>142</v>
      </c>
    </row>
  </sheetData>
  <mergeCells count="2">
    <mergeCell ref="A1:F1"/>
    <mergeCell ref="A2:F2"/>
  </mergeCells>
  <pageMargins left="0.75" right="0.75" top="1" bottom="1" header="0.5" footer="0.5"/>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30"/>
  <sheetViews>
    <sheetView topLeftCell="A9" workbookViewId="0">
      <selection activeCell="B28" sqref="B28"/>
    </sheetView>
  </sheetViews>
  <sheetFormatPr defaultColWidth="9" defaultRowHeight="14.4" outlineLevelCol="3"/>
  <cols>
    <col min="1" max="1" width="8" customWidth="1"/>
    <col min="2" max="2" width="60" customWidth="1"/>
    <col min="3" max="3" width="10" customWidth="1"/>
    <col min="4" max="4" width="30" customWidth="1"/>
  </cols>
  <sheetData>
    <row r="1" ht="21" spans="1:4">
      <c r="A1" s="1" t="s">
        <v>143</v>
      </c>
    </row>
    <row r="2" spans="1:4">
      <c r="A2" s="2" t="s">
        <v>144</v>
      </c>
    </row>
    <row r="4" ht="18" spans="1:4">
      <c r="A4" s="3" t="s">
        <v>145</v>
      </c>
    </row>
    <row r="5" spans="1:4">
      <c r="A5" s="4" t="s">
        <v>146</v>
      </c>
      <c r="B5" s="5" t="s">
        <v>147</v>
      </c>
      <c r="C5" s="4" t="s">
        <v>148</v>
      </c>
      <c r="D5" s="5" t="s">
        <v>149</v>
      </c>
    </row>
    <row r="6" spans="1:4">
      <c r="A6" s="6" t="s">
        <v>150</v>
      </c>
      <c r="B6" s="7" t="s">
        <v>151</v>
      </c>
      <c r="C6" s="6" t="s">
        <v>152</v>
      </c>
      <c r="D6" s="7" t="s">
        <v>36</v>
      </c>
    </row>
    <row r="7" spans="1:4">
      <c r="A7" s="6" t="s">
        <v>153</v>
      </c>
      <c r="B7" s="7" t="s">
        <v>154</v>
      </c>
      <c r="C7" s="6" t="s">
        <v>152</v>
      </c>
      <c r="D7" s="7" t="s">
        <v>36</v>
      </c>
    </row>
    <row r="8" spans="1:4">
      <c r="A8" s="6" t="s">
        <v>155</v>
      </c>
      <c r="B8" s="7" t="s">
        <v>156</v>
      </c>
      <c r="C8" s="6" t="s">
        <v>152</v>
      </c>
      <c r="D8" s="7" t="s">
        <v>36</v>
      </c>
    </row>
    <row r="9" spans="1:4">
      <c r="A9" s="6" t="s">
        <v>157</v>
      </c>
      <c r="B9" s="7" t="s">
        <v>158</v>
      </c>
      <c r="C9" s="6" t="s">
        <v>152</v>
      </c>
      <c r="D9" s="7" t="s">
        <v>36</v>
      </c>
    </row>
    <row r="10" spans="1:4">
      <c r="A10" s="6" t="s">
        <v>159</v>
      </c>
      <c r="B10" s="7" t="s">
        <v>160</v>
      </c>
      <c r="C10" s="6" t="s">
        <v>152</v>
      </c>
      <c r="D10" s="7" t="s">
        <v>36</v>
      </c>
    </row>
    <row r="12" ht="18" spans="1:4">
      <c r="A12" s="3" t="s">
        <v>161</v>
      </c>
    </row>
    <row r="13" spans="1:4">
      <c r="A13" s="4" t="s">
        <v>146</v>
      </c>
      <c r="B13" s="5" t="s">
        <v>147</v>
      </c>
      <c r="C13" s="4" t="s">
        <v>148</v>
      </c>
      <c r="D13" s="5" t="s">
        <v>162</v>
      </c>
    </row>
    <row r="14" spans="1:4">
      <c r="A14" s="6" t="s">
        <v>150</v>
      </c>
      <c r="B14" s="7" t="s">
        <v>163</v>
      </c>
      <c r="C14" s="6" t="s">
        <v>152</v>
      </c>
      <c r="D14" s="7" t="s">
        <v>36</v>
      </c>
    </row>
    <row r="15" spans="1:4">
      <c r="A15" s="6" t="s">
        <v>153</v>
      </c>
      <c r="B15" s="7" t="s">
        <v>164</v>
      </c>
      <c r="C15" s="6" t="s">
        <v>152</v>
      </c>
      <c r="D15" s="7" t="s">
        <v>36</v>
      </c>
    </row>
    <row r="16" spans="1:4">
      <c r="A16" s="6" t="s">
        <v>155</v>
      </c>
      <c r="B16" s="7" t="s">
        <v>165</v>
      </c>
      <c r="C16" s="6" t="s">
        <v>152</v>
      </c>
      <c r="D16" s="7" t="s">
        <v>36</v>
      </c>
    </row>
    <row r="17" spans="1:4">
      <c r="A17" s="6" t="s">
        <v>157</v>
      </c>
      <c r="B17" s="7" t="s">
        <v>166</v>
      </c>
      <c r="C17" s="6" t="s">
        <v>152</v>
      </c>
      <c r="D17" s="7" t="s">
        <v>36</v>
      </c>
    </row>
    <row r="18" spans="1:4">
      <c r="A18" s="6" t="s">
        <v>159</v>
      </c>
      <c r="B18" s="7" t="s">
        <v>167</v>
      </c>
      <c r="C18" s="6" t="s">
        <v>152</v>
      </c>
      <c r="D18" s="7" t="s">
        <v>36</v>
      </c>
    </row>
    <row r="20" ht="15.6" spans="1:4">
      <c r="A20" s="8" t="s">
        <v>168</v>
      </c>
    </row>
    <row r="21" spans="1:4">
      <c r="A21" s="9" t="s">
        <v>169</v>
      </c>
    </row>
    <row r="22" spans="1:4">
      <c r="A22" s="9" t="s">
        <v>170</v>
      </c>
    </row>
    <row r="25" ht="18" spans="1:4">
      <c r="A25" s="3" t="s">
        <v>171</v>
      </c>
    </row>
    <row r="26" spans="1:4">
      <c r="A26" s="10" t="s">
        <v>172</v>
      </c>
    </row>
    <row r="27" ht="43.2" spans="1:4">
      <c r="A27" s="11" t="s">
        <v>48</v>
      </c>
      <c r="B27" s="12" t="s">
        <v>173</v>
      </c>
      <c r="C27" s="12" t="s">
        <v>174</v>
      </c>
      <c r="D27" s="12" t="s">
        <v>175</v>
      </c>
    </row>
    <row r="28" spans="1:4">
      <c r="A28" s="13" t="s">
        <v>56</v>
      </c>
      <c r="B28" s="14" t="s">
        <v>36</v>
      </c>
      <c r="C28" s="14" t="s">
        <v>36</v>
      </c>
      <c r="D28" s="14" t="s">
        <v>36</v>
      </c>
    </row>
    <row r="29" spans="1:4">
      <c r="A29" s="13" t="s">
        <v>63</v>
      </c>
      <c r="B29" s="14" t="s">
        <v>36</v>
      </c>
      <c r="C29" s="14" t="s">
        <v>36</v>
      </c>
      <c r="D29" s="14" t="s">
        <v>36</v>
      </c>
    </row>
    <row r="30" spans="1:4">
      <c r="A30" s="13" t="s">
        <v>70</v>
      </c>
      <c r="B30" s="14" t="s">
        <v>36</v>
      </c>
      <c r="C30" s="14" t="s">
        <v>36</v>
      </c>
      <c r="D30" s="14" t="s">
        <v>36</v>
      </c>
    </row>
  </sheetData>
  <mergeCells count="2">
    <mergeCell ref="A1:D1"/>
    <mergeCell ref="A2:D2"/>
  </mergeCells>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4</vt:i4>
      </vt:variant>
    </vt:vector>
  </HeadingPairs>
  <TitlesOfParts>
    <vt:vector size="4" baseType="lpstr">
      <vt:lpstr>1. Metadata &amp; Summary</vt:lpstr>
      <vt:lpstr>2. Detailed Audit Log</vt:lpstr>
      <vt:lpstr>3. Hallucination Detection</vt:lpstr>
      <vt:lpstr>4. Self-Assessment Checklist</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Triều Vỹ</cp:lastModifiedBy>
  <dcterms:created xsi:type="dcterms:W3CDTF">2026-05-07T22:28:00Z</dcterms:created>
  <dcterms:modified xsi:type="dcterms:W3CDTF">2026-07-21T16:34:15Z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4712E4C81C8B431494F748FD4AC6CBB6_12</vt:lpwstr>
  </property>
  <property fmtid="{D5CDD505-2E9C-101B-9397-08002B2CF9AE}" pid="3" name="KSOProductBuildVer">
    <vt:lpwstr>1033-12.1.0.27458</vt:lpwstr>
  </property>
  <property fmtid="{D5CDD505-2E9C-101B-9397-08002B2CF9AE}" pid="4" name="CalculationRule">
    <vt:i4>0</vt:i4>
  </property>
</Properties>
</file>